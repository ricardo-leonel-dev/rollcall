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ricardoaguilar/Downloads/"/>
    </mc:Choice>
  </mc:AlternateContent>
  <xr:revisionPtr revIDLastSave="0" documentId="8_{EAC55D63-2288-2740-A9D2-EB3C5773894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1ER TRIMESTRE" sheetId="5" r:id="rId1"/>
    <sheet name="2DO TRIMESTRE" sheetId="4" r:id="rId2"/>
    <sheet name="3ER TRIMESTRE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VRDvc/9KE472AmTn+IG0DIjZspLYVF01ZcdlLJiBlTY="/>
    </ext>
  </extLst>
</workbook>
</file>

<file path=xl/calcChain.xml><?xml version="1.0" encoding="utf-8"?>
<calcChain xmlns="http://schemas.openxmlformats.org/spreadsheetml/2006/main">
  <c r="BY35" i="6" l="1"/>
  <c r="CD35" i="6" s="1"/>
  <c r="BX35" i="6"/>
  <c r="CC35" i="6" s="1"/>
  <c r="BW35" i="6" a="1"/>
  <c r="BV35" i="6"/>
  <c r="CA35" i="6" s="1"/>
  <c r="B35" i="6"/>
  <c r="BP38" i="4"/>
  <c r="BO38" i="4"/>
  <c r="BN38" i="4" a="1"/>
  <c r="BQ38" i="4" s="1"/>
  <c r="BM38" i="4"/>
  <c r="B38" i="4"/>
  <c r="BX38" i="5"/>
  <c r="BW38" i="5"/>
  <c r="BV38" i="5" a="1"/>
  <c r="BY38" i="5" s="1"/>
  <c r="BU38" i="5"/>
  <c r="BM11" i="4"/>
  <c r="BO11" i="4"/>
  <c r="BP11" i="4"/>
  <c r="BU11" i="5"/>
  <c r="BV11" i="5" a="1"/>
  <c r="BW11" i="5"/>
  <c r="BX12" i="5"/>
  <c r="BX13" i="5"/>
  <c r="BX14" i="5"/>
  <c r="BX15" i="5"/>
  <c r="BX16" i="5"/>
  <c r="BX17" i="5"/>
  <c r="BX18" i="5"/>
  <c r="BX19" i="5"/>
  <c r="BX20" i="5"/>
  <c r="BX21" i="5"/>
  <c r="BX22" i="5"/>
  <c r="BX23" i="5"/>
  <c r="BX24" i="5"/>
  <c r="BX25" i="5"/>
  <c r="BX26" i="5"/>
  <c r="BX27" i="5"/>
  <c r="BX28" i="5"/>
  <c r="BX29" i="5"/>
  <c r="BX30" i="5"/>
  <c r="BX31" i="5"/>
  <c r="BX32" i="5"/>
  <c r="BX33" i="5"/>
  <c r="BX34" i="5"/>
  <c r="BX35" i="5"/>
  <c r="BX36" i="5"/>
  <c r="BX37" i="5"/>
  <c r="BX39" i="5"/>
  <c r="BX40" i="5"/>
  <c r="BX11" i="5"/>
  <c r="BU19" i="5"/>
  <c r="BV12" i="6"/>
  <c r="BW12" i="6" a="1"/>
  <c r="BX12" i="6"/>
  <c r="BY12" i="6"/>
  <c r="BV13" i="6"/>
  <c r="BW13" i="6" a="1"/>
  <c r="BX13" i="6"/>
  <c r="BY13" i="6"/>
  <c r="BV14" i="6"/>
  <c r="BW14" i="6" a="1"/>
  <c r="BX14" i="6"/>
  <c r="BY14" i="6"/>
  <c r="BV15" i="6"/>
  <c r="BW15" i="6" a="1"/>
  <c r="BX15" i="6"/>
  <c r="BY15" i="6"/>
  <c r="BV16" i="6"/>
  <c r="BW16" i="6" a="1"/>
  <c r="BX16" i="6"/>
  <c r="BY16" i="6"/>
  <c r="BV17" i="6"/>
  <c r="BW17" i="6" a="1"/>
  <c r="BX17" i="6"/>
  <c r="BY17" i="6"/>
  <c r="BV18" i="6"/>
  <c r="BW18" i="6" a="1"/>
  <c r="BX18" i="6"/>
  <c r="BY18" i="6"/>
  <c r="BV19" i="6"/>
  <c r="BW19" i="6" a="1"/>
  <c r="BX19" i="6"/>
  <c r="BY19" i="6"/>
  <c r="BV20" i="6"/>
  <c r="BW20" i="6" a="1"/>
  <c r="BX20" i="6"/>
  <c r="BY20" i="6"/>
  <c r="BV21" i="6"/>
  <c r="BW21" i="6" a="1"/>
  <c r="BX21" i="6"/>
  <c r="BY21" i="6"/>
  <c r="BV22" i="6"/>
  <c r="BW22" i="6" a="1"/>
  <c r="BX22" i="6"/>
  <c r="BY22" i="6"/>
  <c r="BV23" i="6"/>
  <c r="BW23" i="6" a="1"/>
  <c r="BX23" i="6"/>
  <c r="BY23" i="6"/>
  <c r="BV24" i="6"/>
  <c r="BW24" i="6" a="1"/>
  <c r="BX24" i="6"/>
  <c r="BY24" i="6"/>
  <c r="BV25" i="6"/>
  <c r="BW25" i="6" a="1"/>
  <c r="BX25" i="6"/>
  <c r="BY25" i="6"/>
  <c r="BV26" i="6"/>
  <c r="BW26" i="6" a="1"/>
  <c r="BX26" i="6"/>
  <c r="BY26" i="6"/>
  <c r="BV27" i="6"/>
  <c r="BW27" i="6" a="1"/>
  <c r="BX27" i="6"/>
  <c r="BY27" i="6"/>
  <c r="BV28" i="6"/>
  <c r="BW28" i="6" a="1"/>
  <c r="BX28" i="6"/>
  <c r="BY28" i="6"/>
  <c r="BV29" i="6"/>
  <c r="BW29" i="6" a="1"/>
  <c r="BX29" i="6"/>
  <c r="BY29" i="6"/>
  <c r="BV30" i="6"/>
  <c r="BW30" i="6" a="1"/>
  <c r="BX30" i="6"/>
  <c r="BY30" i="6"/>
  <c r="BV31" i="6"/>
  <c r="BW31" i="6" a="1"/>
  <c r="BX31" i="6"/>
  <c r="BY31" i="6"/>
  <c r="BV32" i="6"/>
  <c r="BW32" i="6" a="1"/>
  <c r="BX32" i="6"/>
  <c r="BY32" i="6"/>
  <c r="BV33" i="6"/>
  <c r="BW33" i="6" a="1"/>
  <c r="BX33" i="6"/>
  <c r="BY33" i="6"/>
  <c r="BV34" i="6"/>
  <c r="BW34" i="6" a="1"/>
  <c r="BX34" i="6"/>
  <c r="BY34" i="6"/>
  <c r="BV36" i="6"/>
  <c r="BW36" i="6" a="1"/>
  <c r="BX36" i="6"/>
  <c r="BY36" i="6"/>
  <c r="BV37" i="6"/>
  <c r="BW37" i="6" a="1"/>
  <c r="BX37" i="6"/>
  <c r="BY37" i="6"/>
  <c r="BV38" i="6"/>
  <c r="BW38" i="6" a="1"/>
  <c r="BX38" i="6"/>
  <c r="BY38" i="6"/>
  <c r="BV39" i="6"/>
  <c r="BW39" i="6" a="1"/>
  <c r="BX39" i="6"/>
  <c r="BY39" i="6"/>
  <c r="BV40" i="6"/>
  <c r="BW40" i="6" a="1"/>
  <c r="BX40" i="6"/>
  <c r="BY40" i="6"/>
  <c r="BY11" i="6"/>
  <c r="BX11" i="6"/>
  <c r="BW11" i="6" a="1"/>
  <c r="BV11" i="6"/>
  <c r="BM12" i="4"/>
  <c r="BN12" i="4" a="1"/>
  <c r="BO12" i="4"/>
  <c r="BP12" i="4"/>
  <c r="BM13" i="4"/>
  <c r="BN13" i="4" a="1"/>
  <c r="BO13" i="4"/>
  <c r="BP13" i="4"/>
  <c r="BM14" i="4"/>
  <c r="BN14" i="4" a="1"/>
  <c r="BO14" i="4"/>
  <c r="BP14" i="4"/>
  <c r="BM15" i="4"/>
  <c r="BN15" i="4" a="1"/>
  <c r="BO15" i="4"/>
  <c r="BP15" i="4"/>
  <c r="BM16" i="4"/>
  <c r="BN16" i="4" a="1"/>
  <c r="BO16" i="4"/>
  <c r="BP16" i="4"/>
  <c r="BM17" i="4"/>
  <c r="BN17" i="4" a="1"/>
  <c r="BO17" i="4"/>
  <c r="BP17" i="4"/>
  <c r="BM18" i="4"/>
  <c r="BN18" i="4" a="1"/>
  <c r="BO18" i="4"/>
  <c r="BP18" i="4"/>
  <c r="BM19" i="4"/>
  <c r="BN19" i="4" a="1"/>
  <c r="BO19" i="4"/>
  <c r="BP19" i="4"/>
  <c r="BM20" i="4"/>
  <c r="BN20" i="4" a="1"/>
  <c r="BO20" i="4"/>
  <c r="BP20" i="4"/>
  <c r="BM21" i="4"/>
  <c r="BN21" i="4" a="1"/>
  <c r="BO21" i="4"/>
  <c r="BP21" i="4"/>
  <c r="BM22" i="4"/>
  <c r="BN22" i="4" a="1"/>
  <c r="BO22" i="4"/>
  <c r="BP22" i="4"/>
  <c r="BM23" i="4"/>
  <c r="BN23" i="4" a="1"/>
  <c r="BO23" i="4"/>
  <c r="BP23" i="4"/>
  <c r="BM24" i="4"/>
  <c r="BN24" i="4" a="1"/>
  <c r="BO24" i="4"/>
  <c r="BP24" i="4"/>
  <c r="BM25" i="4"/>
  <c r="BN25" i="4" a="1"/>
  <c r="BO25" i="4"/>
  <c r="BP25" i="4"/>
  <c r="CD25" i="6" s="1"/>
  <c r="BM26" i="4"/>
  <c r="BN26" i="4" a="1"/>
  <c r="BO26" i="4"/>
  <c r="BP26" i="4"/>
  <c r="BM27" i="4"/>
  <c r="BN27" i="4" a="1"/>
  <c r="BO27" i="4"/>
  <c r="BP27" i="4"/>
  <c r="BM28" i="4"/>
  <c r="BN28" i="4" a="1"/>
  <c r="BQ28" i="4" s="1"/>
  <c r="BO28" i="4"/>
  <c r="BP28" i="4"/>
  <c r="CD28" i="6" s="1"/>
  <c r="BM29" i="4"/>
  <c r="BN29" i="4" a="1"/>
  <c r="BO29" i="4"/>
  <c r="BP29" i="4"/>
  <c r="BM30" i="4"/>
  <c r="BN30" i="4" a="1"/>
  <c r="BO30" i="4"/>
  <c r="BP30" i="4"/>
  <c r="BM31" i="4"/>
  <c r="BN31" i="4" a="1"/>
  <c r="CB31" i="6" s="1"/>
  <c r="BO31" i="4"/>
  <c r="BP31" i="4"/>
  <c r="CD31" i="6" s="1"/>
  <c r="BM32" i="4"/>
  <c r="BN32" i="4" a="1"/>
  <c r="BO32" i="4"/>
  <c r="BP32" i="4"/>
  <c r="CD32" i="6" s="1"/>
  <c r="BM33" i="4"/>
  <c r="BN33" i="4" a="1"/>
  <c r="BO33" i="4"/>
  <c r="BP33" i="4"/>
  <c r="BM34" i="4"/>
  <c r="BN34" i="4" a="1"/>
  <c r="BO34" i="4"/>
  <c r="BP34" i="4"/>
  <c r="CD34" i="6" s="1"/>
  <c r="BM35" i="4"/>
  <c r="BN35" i="4" a="1"/>
  <c r="BO35" i="4"/>
  <c r="BP35" i="4"/>
  <c r="CD36" i="6" s="1"/>
  <c r="BM36" i="4"/>
  <c r="BN36" i="4" a="1"/>
  <c r="BO36" i="4"/>
  <c r="BP36" i="4"/>
  <c r="CD37" i="6" s="1"/>
  <c r="BM37" i="4"/>
  <c r="BN37" i="4" a="1"/>
  <c r="CB38" i="6" s="1"/>
  <c r="BO37" i="4"/>
  <c r="BP37" i="4"/>
  <c r="BM39" i="4"/>
  <c r="BN39" i="4" a="1"/>
  <c r="BO39" i="4"/>
  <c r="BP39" i="4"/>
  <c r="CD39" i="6" s="1"/>
  <c r="BM40" i="4"/>
  <c r="BN40" i="4" a="1"/>
  <c r="BO40" i="4"/>
  <c r="BP40" i="4"/>
  <c r="CD40" i="6" s="1"/>
  <c r="BN11" i="4" a="1"/>
  <c r="BU12" i="5"/>
  <c r="BV12" i="5" a="1"/>
  <c r="BW12" i="5"/>
  <c r="BU13" i="5"/>
  <c r="BV13" i="5" a="1"/>
  <c r="BW13" i="5"/>
  <c r="BU14" i="5"/>
  <c r="BV14" i="5" a="1"/>
  <c r="BW14" i="5"/>
  <c r="BU15" i="5"/>
  <c r="BV15" i="5" a="1"/>
  <c r="BW15" i="5"/>
  <c r="BU16" i="5"/>
  <c r="BV16" i="5" a="1"/>
  <c r="BW16" i="5"/>
  <c r="BU17" i="5"/>
  <c r="BV17" i="5" a="1"/>
  <c r="BW17" i="5"/>
  <c r="BU18" i="5"/>
  <c r="BV18" i="5" a="1"/>
  <c r="BW18" i="5"/>
  <c r="BV19" i="5" a="1"/>
  <c r="BW19" i="5"/>
  <c r="BU20" i="5"/>
  <c r="BV20" i="5" a="1"/>
  <c r="BW20" i="5"/>
  <c r="BU21" i="5"/>
  <c r="BV21" i="5" a="1"/>
  <c r="BW21" i="5"/>
  <c r="BU22" i="5"/>
  <c r="BV22" i="5" a="1"/>
  <c r="BW22" i="5"/>
  <c r="BU23" i="5"/>
  <c r="BV23" i="5" a="1"/>
  <c r="BW23" i="5"/>
  <c r="BU24" i="5"/>
  <c r="BV24" i="5" a="1"/>
  <c r="BW24" i="5"/>
  <c r="BU25" i="5"/>
  <c r="BV25" i="5" a="1"/>
  <c r="BW25" i="5"/>
  <c r="BU26" i="5"/>
  <c r="BV26" i="5" a="1"/>
  <c r="BW26" i="5"/>
  <c r="BU27" i="5"/>
  <c r="BV27" i="5" a="1"/>
  <c r="BW27" i="5"/>
  <c r="BU28" i="5"/>
  <c r="BV28" i="5" a="1"/>
  <c r="BW28" i="5"/>
  <c r="BU29" i="5"/>
  <c r="BV29" i="5" a="1"/>
  <c r="BW29" i="5"/>
  <c r="BU30" i="5"/>
  <c r="BV30" i="5" a="1"/>
  <c r="BW30" i="5"/>
  <c r="BU31" i="5"/>
  <c r="BV31" i="5" a="1"/>
  <c r="BW31" i="5"/>
  <c r="BU32" i="5"/>
  <c r="BV32" i="5" a="1"/>
  <c r="BW32" i="5"/>
  <c r="BU33" i="5"/>
  <c r="BV33" i="5" a="1"/>
  <c r="BW33" i="5"/>
  <c r="BU34" i="5"/>
  <c r="BV34" i="5" a="1"/>
  <c r="BW34" i="5"/>
  <c r="BU35" i="5"/>
  <c r="BV35" i="5" a="1"/>
  <c r="BW35" i="5"/>
  <c r="BU36" i="5"/>
  <c r="BV36" i="5" a="1"/>
  <c r="BW36" i="5"/>
  <c r="BU37" i="5"/>
  <c r="BV37" i="5" a="1"/>
  <c r="BW37" i="5"/>
  <c r="BU39" i="5"/>
  <c r="BV39" i="5" a="1"/>
  <c r="BW39" i="5"/>
  <c r="BU40" i="5"/>
  <c r="BV40" i="5" a="1"/>
  <c r="BW40" i="5"/>
  <c r="B40" i="6"/>
  <c r="B39" i="6"/>
  <c r="B38" i="6"/>
  <c r="B37" i="6"/>
  <c r="B36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C9" i="6"/>
  <c r="B9" i="6"/>
  <c r="A7" i="6"/>
  <c r="A7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9" i="4"/>
  <c r="B40" i="4"/>
  <c r="B11" i="4"/>
  <c r="B9" i="4"/>
  <c r="C9" i="4"/>
  <c r="CB35" i="6" l="1"/>
  <c r="BZ35" i="6"/>
  <c r="CE35" i="6" s="1"/>
  <c r="CA33" i="6"/>
  <c r="CA40" i="6"/>
  <c r="CC38" i="6"/>
  <c r="BQ23" i="4"/>
  <c r="BQ21" i="4"/>
  <c r="CC34" i="6"/>
  <c r="CB34" i="6"/>
  <c r="CC40" i="6"/>
  <c r="CA39" i="6"/>
  <c r="CC37" i="6"/>
  <c r="CD27" i="6"/>
  <c r="CA36" i="6"/>
  <c r="CC33" i="6"/>
  <c r="CA32" i="6"/>
  <c r="CC30" i="6"/>
  <c r="CC27" i="6"/>
  <c r="CD21" i="6"/>
  <c r="CD18" i="6"/>
  <c r="CA37" i="6"/>
  <c r="CD22" i="6"/>
  <c r="CA17" i="6"/>
  <c r="CD19" i="6"/>
  <c r="CB30" i="6"/>
  <c r="CB27" i="6"/>
  <c r="CA26" i="6"/>
  <c r="CC24" i="6"/>
  <c r="CA23" i="6"/>
  <c r="CC21" i="6"/>
  <c r="CA20" i="6"/>
  <c r="CA30" i="6"/>
  <c r="CC28" i="6"/>
  <c r="CB24" i="6"/>
  <c r="CC22" i="6"/>
  <c r="CA21" i="6"/>
  <c r="CD26" i="6"/>
  <c r="CA29" i="6"/>
  <c r="CA22" i="6"/>
  <c r="CC20" i="6"/>
  <c r="CC17" i="6"/>
  <c r="CA16" i="6"/>
  <c r="BY12" i="5"/>
  <c r="CD13" i="6"/>
  <c r="CD12" i="6"/>
  <c r="BY11" i="5"/>
  <c r="CD16" i="6"/>
  <c r="CC16" i="6"/>
  <c r="CC13" i="6"/>
  <c r="CA13" i="6"/>
  <c r="CD29" i="6"/>
  <c r="CD23" i="6"/>
  <c r="CA19" i="6"/>
  <c r="CC19" i="6"/>
  <c r="CC18" i="6"/>
  <c r="CA18" i="6"/>
  <c r="CD15" i="6"/>
  <c r="CA15" i="6"/>
  <c r="CC15" i="6"/>
  <c r="CC12" i="6"/>
  <c r="CA12" i="6"/>
  <c r="CA14" i="6"/>
  <c r="CC14" i="6"/>
  <c r="CA11" i="6"/>
  <c r="CC11" i="6"/>
  <c r="CC31" i="6"/>
  <c r="CD11" i="6"/>
  <c r="CC39" i="6"/>
  <c r="CA38" i="6"/>
  <c r="CC36" i="6"/>
  <c r="CA27" i="6"/>
  <c r="CC25" i="6"/>
  <c r="CA24" i="6"/>
  <c r="CA34" i="6"/>
  <c r="CC32" i="6"/>
  <c r="CA31" i="6"/>
  <c r="CC29" i="6"/>
  <c r="CA28" i="6"/>
  <c r="CD20" i="6"/>
  <c r="CB19" i="6"/>
  <c r="CD17" i="6"/>
  <c r="CD14" i="6"/>
  <c r="CD33" i="6"/>
  <c r="CD30" i="6"/>
  <c r="CC26" i="6"/>
  <c r="CA25" i="6"/>
  <c r="CC23" i="6"/>
  <c r="CB13" i="6"/>
  <c r="CB40" i="6"/>
  <c r="CD38" i="6"/>
  <c r="CB37" i="6"/>
  <c r="CD24" i="6"/>
  <c r="BQ39" i="4"/>
  <c r="BQ35" i="4"/>
  <c r="BQ11" i="4"/>
  <c r="BQ26" i="4"/>
  <c r="BQ33" i="4"/>
  <c r="BQ18" i="4"/>
  <c r="BQ15" i="4"/>
  <c r="BQ12" i="4"/>
  <c r="CB33" i="6"/>
  <c r="CB21" i="6"/>
  <c r="CB18" i="6"/>
  <c r="CB15" i="6"/>
  <c r="BQ32" i="4"/>
  <c r="BQ25" i="4"/>
  <c r="BQ40" i="4"/>
  <c r="BQ36" i="4"/>
  <c r="BQ29" i="4"/>
  <c r="BQ22" i="4"/>
  <c r="BQ16" i="4"/>
  <c r="BQ13" i="4"/>
  <c r="CB28" i="6"/>
  <c r="CB25" i="6"/>
  <c r="CB22" i="6"/>
  <c r="CB16" i="6"/>
  <c r="BQ27" i="4"/>
  <c r="BQ20" i="4"/>
  <c r="CB11" i="6"/>
  <c r="CB12" i="6"/>
  <c r="BQ31" i="4"/>
  <c r="BQ37" i="4"/>
  <c r="BQ30" i="4"/>
  <c r="BQ34" i="4"/>
  <c r="BQ24" i="4"/>
  <c r="BQ17" i="4"/>
  <c r="BQ14" i="4"/>
  <c r="CB39" i="6"/>
  <c r="CB36" i="6"/>
  <c r="CB32" i="6"/>
  <c r="CB29" i="6"/>
  <c r="CB26" i="6"/>
  <c r="CB23" i="6"/>
  <c r="CB20" i="6"/>
  <c r="CB17" i="6"/>
  <c r="CB14" i="6"/>
  <c r="BQ19" i="4"/>
  <c r="BZ29" i="6"/>
  <c r="BZ26" i="6"/>
  <c r="BZ23" i="6"/>
  <c r="BZ36" i="6"/>
  <c r="BZ32" i="6"/>
  <c r="BZ11" i="6"/>
  <c r="BZ40" i="6"/>
  <c r="BZ21" i="6"/>
  <c r="BZ18" i="6"/>
  <c r="BZ13" i="6"/>
  <c r="BZ17" i="6"/>
  <c r="BZ38" i="6"/>
  <c r="BZ16" i="6"/>
  <c r="BY21" i="5"/>
  <c r="BY15" i="5"/>
  <c r="BY20" i="5"/>
  <c r="BY14" i="5"/>
  <c r="BY37" i="5"/>
  <c r="BY40" i="5"/>
  <c r="BY33" i="5"/>
  <c r="BY30" i="5"/>
  <c r="BY27" i="5"/>
  <c r="BY24" i="5"/>
  <c r="BY25" i="5"/>
  <c r="BY22" i="5"/>
  <c r="BY34" i="5"/>
  <c r="BY16" i="5"/>
  <c r="BY31" i="5"/>
  <c r="BY28" i="5"/>
  <c r="BY18" i="5"/>
  <c r="BY39" i="5"/>
  <c r="BY32" i="5"/>
  <c r="BY29" i="5"/>
  <c r="BY19" i="5"/>
  <c r="BY35" i="5"/>
  <c r="BY36" i="5"/>
  <c r="BY26" i="5"/>
  <c r="BY23" i="5"/>
  <c r="BY13" i="5"/>
  <c r="BY17" i="5"/>
  <c r="BZ34" i="6"/>
  <c r="BZ31" i="6"/>
  <c r="BZ28" i="6"/>
  <c r="BZ25" i="6"/>
  <c r="BZ15" i="6"/>
  <c r="BZ12" i="6"/>
  <c r="BZ39" i="6"/>
  <c r="BZ22" i="6"/>
  <c r="BZ19" i="6"/>
  <c r="BZ20" i="6"/>
  <c r="BZ37" i="6"/>
  <c r="BZ33" i="6"/>
  <c r="BZ30" i="6"/>
  <c r="BZ27" i="6"/>
  <c r="BZ24" i="6"/>
  <c r="BZ14" i="6"/>
  <c r="CE32" i="6" l="1"/>
  <c r="CE14" i="6"/>
  <c r="CC41" i="6"/>
  <c r="CD41" i="6"/>
  <c r="CA41" i="6"/>
  <c r="CE24" i="6"/>
  <c r="CE40" i="6"/>
  <c r="CB41" i="6"/>
  <c r="CE17" i="6"/>
  <c r="CE15" i="6"/>
  <c r="CE39" i="6"/>
  <c r="CE18" i="6"/>
  <c r="CE30" i="6"/>
  <c r="CE38" i="6"/>
  <c r="CE12" i="6"/>
  <c r="CE33" i="6"/>
  <c r="CE20" i="6"/>
  <c r="CE21" i="6"/>
  <c r="CE25" i="6"/>
  <c r="CE28" i="6"/>
  <c r="CE29" i="6"/>
  <c r="CE26" i="6"/>
  <c r="CE37" i="6"/>
  <c r="CE27" i="6"/>
  <c r="CE36" i="6"/>
  <c r="CE23" i="6"/>
  <c r="CE11" i="6"/>
  <c r="CE22" i="6"/>
  <c r="CE31" i="6"/>
  <c r="CE19" i="6"/>
  <c r="CE16" i="6"/>
  <c r="CE13" i="6"/>
  <c r="CE34" i="6"/>
  <c r="CE41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<sst xmlns="http://schemas.openxmlformats.org/spreadsheetml/2006/main" count="6113" uniqueCount="57">
  <si>
    <t>UNIDAD EDUCATIVA PARTICULAR  “TIA BLANQUITA”</t>
  </si>
  <si>
    <t xml:space="preserve">E-mail: marialuisa_000@hotmail.com </t>
  </si>
  <si>
    <t>MES</t>
  </si>
  <si>
    <t>MAYO</t>
  </si>
  <si>
    <t>JUNIO</t>
  </si>
  <si>
    <t>JULIO</t>
  </si>
  <si>
    <t>AGOSTO</t>
  </si>
  <si>
    <t>Nº</t>
  </si>
  <si>
    <t>JORNADA</t>
  </si>
  <si>
    <t>GRADO</t>
  </si>
  <si>
    <t>MATUTINA</t>
  </si>
  <si>
    <t>DÍAS 20</t>
  </si>
  <si>
    <t>DÍAS 23</t>
  </si>
  <si>
    <t>NOMINA</t>
  </si>
  <si>
    <t>SEPTIEMBRE</t>
  </si>
  <si>
    <t>OCTUBRE</t>
  </si>
  <si>
    <t>DÍAS 21</t>
  </si>
  <si>
    <t>DÍAS 22</t>
  </si>
  <si>
    <t>NOVIEMBRE</t>
  </si>
  <si>
    <t>DICIEMBRE</t>
  </si>
  <si>
    <t>DÍAS 19</t>
  </si>
  <si>
    <t>DÍAS 5</t>
  </si>
  <si>
    <t>DÍAS 18</t>
  </si>
  <si>
    <t>INSPECTORA/DOCENTE TUTORA</t>
  </si>
  <si>
    <t>A</t>
  </si>
  <si>
    <t>"A" DIAS ASISTIDOS</t>
  </si>
  <si>
    <t>"J" Justificadas</t>
  </si>
  <si>
    <t>F "Injustificadas"</t>
  </si>
  <si>
    <t>"AT" Atrasos</t>
  </si>
  <si>
    <t>DOCENTE TUTOR</t>
  </si>
  <si>
    <t xml:space="preserve">AGUILAR ORELLANA  FREDDY JOEL </t>
  </si>
  <si>
    <t>LCDA. LXXXXXXXXXXXXXXXXXXX</t>
  </si>
  <si>
    <t>INSPECTOR GENERAL</t>
  </si>
  <si>
    <t>RECTORA_UETB</t>
  </si>
  <si>
    <t>AÑO LECTIVO 2026-2027</t>
  </si>
  <si>
    <t>DÍAS 15</t>
  </si>
  <si>
    <t>NOV</t>
  </si>
  <si>
    <t>DÍAS 3</t>
  </si>
  <si>
    <t>DÍAS 16</t>
  </si>
  <si>
    <t>ENERO</t>
  </si>
  <si>
    <t>FEBRERO</t>
  </si>
  <si>
    <t>INSPECTOR PISO_1</t>
  </si>
  <si>
    <t>TOTALES</t>
  </si>
  <si>
    <t>REGISTRO DE ASISTENCIA DEL 3ER TRIMESTRE - ESTUDIANTES</t>
  </si>
  <si>
    <t>REGISTRO DE ASISTENCIA DEL 1ER TRIMESTRE - ESTUDIANTES</t>
  </si>
  <si>
    <t>MATRIZ: Bolivar 220 entre 10 de Agosto y Napoleon Mera - SUCURSAL: Via Pajonal Urbanizacion Genesis</t>
  </si>
  <si>
    <t>REGISTRO DE ASISTENCIA DEL 2DO TRIMESTRE - ESTUDIANTES</t>
  </si>
  <si>
    <t>DIAS DE ASISTENCIA 61</t>
  </si>
  <si>
    <t>DIAS DE ASISTENCIA 69</t>
  </si>
  <si>
    <t>DIAS DE ASISTENCIA 70</t>
  </si>
  <si>
    <t>REPORTE ANUAL</t>
  </si>
  <si>
    <t>200 DIAS ASISTENCIA
 AÑO LECTIVO</t>
  </si>
  <si>
    <t>INSPECTORA/DOCENTE TUTOR</t>
  </si>
  <si>
    <t>DRA. MARIA LUISA JADAN ORDOÑEZ</t>
  </si>
  <si>
    <t xml:space="preserve">LCDA. LEIDY DIANA OYOLA HERRERA </t>
  </si>
  <si>
    <t>LCDA. LEIDY DIANA OYOLA HERRERA</t>
  </si>
  <si>
    <t>LCDA. ARLET ORAMAS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</si>
</sst>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b/>
      <sz val="10"/>
      <color rgb="FFFFFFFF"/>
      <name val="Calibri"/>
      <family val="2"/>
    </font>
    <font>
      <sz val="1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20"/>
      <color theme="0"/>
      <name val="Calibri"/>
      <family val="2"/>
    </font>
    <font>
      <sz val="20"/>
      <color theme="0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20"/>
      <color rgb="FF000000"/>
      <name val="Consolas"/>
      <family val="3"/>
    </font>
    <font>
      <sz val="11"/>
      <color theme="1"/>
      <name val="Consolas"/>
      <family val="3"/>
    </font>
    <font>
      <b/>
      <sz val="12"/>
      <color theme="1"/>
      <name val="Bahnschrift SemiBold Condensed"/>
      <family val="2"/>
    </font>
    <font>
      <sz val="12"/>
      <color theme="1"/>
      <name val="Bahnschrift SemiBold Condensed"/>
      <family val="2"/>
    </font>
    <font>
      <b/>
      <sz val="14"/>
      <color theme="1"/>
      <name val="Bahnschrift SemiBold Condensed"/>
      <family val="2"/>
    </font>
    <font>
      <sz val="14"/>
      <color theme="1"/>
      <name val="Bahnschrift SemiBold Condensed"/>
      <family val="2"/>
    </font>
    <font>
      <b/>
      <sz val="11"/>
      <color theme="1"/>
      <name val="Agency FB"/>
      <family val="2"/>
    </font>
    <font>
      <sz val="11"/>
      <color theme="1"/>
      <name val="Agency FB"/>
      <family val="2"/>
    </font>
    <font>
      <b/>
      <sz val="16"/>
      <color theme="1"/>
      <name val="Consolas"/>
      <family val="3"/>
    </font>
  </fonts>
  <fills count="2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7F7F7F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A5A5A5"/>
      </patternFill>
    </fill>
    <fill>
      <patternFill patternType="solid">
        <fgColor rgb="FFC00000"/>
        <bgColor rgb="FFBFBFBF"/>
      </patternFill>
    </fill>
    <fill>
      <patternFill patternType="solid">
        <fgColor rgb="FF002060"/>
        <bgColor rgb="FFCCC0DA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D99795"/>
      </patternFill>
    </fill>
    <fill>
      <patternFill patternType="solid">
        <fgColor rgb="FF00B0F0"/>
        <bgColor rgb="FFF2DDDC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7E4BC"/>
      </patternFill>
    </fill>
    <fill>
      <patternFill patternType="solid">
        <fgColor rgb="FF00B050"/>
        <bgColor rgb="FFFCD5B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B6DDE8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rgb="FFE5E0EC"/>
      </patternFill>
    </fill>
    <fill>
      <patternFill patternType="solid">
        <fgColor theme="0" tint="-0.249977111117893"/>
        <bgColor rgb="FFDBEEF3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2F2F2"/>
      </patternFill>
    </fill>
    <fill>
      <patternFill patternType="solid">
        <fgColor rgb="FF00B0F0"/>
        <bgColor rgb="FFD8D8D8"/>
      </patternFill>
    </fill>
    <fill>
      <patternFill patternType="solid">
        <fgColor theme="2" tint="-0.14999847407452621"/>
        <bgColor rgb="FFF2F2F2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medium">
        <color rgb="FF000000"/>
      </right>
      <top/>
      <bottom style="medium">
        <color rgb="FF0070C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70C0"/>
      </right>
      <top style="medium">
        <color rgb="FF0070C0"/>
      </top>
      <bottom style="medium">
        <color rgb="FF00000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70C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3" borderId="28" xfId="0" applyFont="1" applyFill="1" applyBorder="1" applyAlignment="1">
      <alignment horizontal="center" vertical="center"/>
    </xf>
    <xf numFmtId="0" fontId="7" fillId="0" borderId="0" xfId="0" applyFont="1"/>
    <xf numFmtId="0" fontId="8" fillId="8" borderId="17" xfId="0" applyFont="1" applyFill="1" applyBorder="1" applyAlignment="1">
      <alignment horizontal="center" vertical="center"/>
    </xf>
    <xf numFmtId="0" fontId="3" fillId="20" borderId="29" xfId="0" applyFont="1" applyFill="1" applyBorder="1" applyAlignment="1">
      <alignment horizontal="center" vertical="center"/>
    </xf>
    <xf numFmtId="0" fontId="3" fillId="20" borderId="30" xfId="0" applyFont="1" applyFill="1" applyBorder="1" applyAlignment="1">
      <alignment horizontal="center" vertical="center"/>
    </xf>
    <xf numFmtId="0" fontId="13" fillId="20" borderId="30" xfId="0" applyFont="1" applyFill="1" applyBorder="1" applyAlignment="1">
      <alignment horizontal="center" vertical="center"/>
    </xf>
    <xf numFmtId="0" fontId="13" fillId="20" borderId="29" xfId="0" applyFont="1" applyFill="1" applyBorder="1" applyAlignment="1">
      <alignment horizontal="center" vertical="center"/>
    </xf>
    <xf numFmtId="0" fontId="17" fillId="0" borderId="0" xfId="0" applyFont="1"/>
    <xf numFmtId="0" fontId="19" fillId="0" borderId="0" xfId="0" applyFont="1"/>
    <xf numFmtId="0" fontId="21" fillId="0" borderId="0" xfId="0" applyFont="1"/>
    <xf numFmtId="0" fontId="13" fillId="4" borderId="31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 vertical="center"/>
    </xf>
    <xf numFmtId="0" fontId="13" fillId="4" borderId="33" xfId="0" applyFont="1" applyFill="1" applyBorder="1" applyAlignment="1">
      <alignment horizontal="center" vertical="center"/>
    </xf>
    <xf numFmtId="0" fontId="13" fillId="4" borderId="35" xfId="0" applyFont="1" applyFill="1" applyBorder="1" applyAlignment="1">
      <alignment horizontal="center" vertical="center"/>
    </xf>
    <xf numFmtId="0" fontId="13" fillId="4" borderId="36" xfId="0" applyFont="1" applyFill="1" applyBorder="1" applyAlignment="1">
      <alignment horizontal="center" vertical="center"/>
    </xf>
    <xf numFmtId="0" fontId="13" fillId="4" borderId="37" xfId="0" applyFont="1" applyFill="1" applyBorder="1" applyAlignment="1">
      <alignment horizontal="center" vertical="center"/>
    </xf>
    <xf numFmtId="0" fontId="6" fillId="21" borderId="34" xfId="0" quotePrefix="1" applyFont="1" applyFill="1" applyBorder="1" applyAlignment="1">
      <alignment horizontal="center"/>
    </xf>
    <xf numFmtId="0" fontId="14" fillId="24" borderId="29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0" borderId="42" xfId="0" applyFont="1" applyFill="1" applyBorder="1" applyAlignment="1">
      <alignment horizontal="center" vertical="center"/>
    </xf>
    <xf numFmtId="0" fontId="3" fillId="20" borderId="43" xfId="0" applyFont="1" applyFill="1" applyBorder="1" applyAlignment="1">
      <alignment horizontal="center" vertical="center"/>
    </xf>
    <xf numFmtId="0" fontId="3" fillId="20" borderId="34" xfId="0" applyFont="1" applyFill="1" applyBorder="1" applyAlignment="1">
      <alignment horizontal="center" vertical="center"/>
    </xf>
    <xf numFmtId="0" fontId="3" fillId="20" borderId="40" xfId="0" applyFont="1" applyFill="1" applyBorder="1" applyAlignment="1">
      <alignment horizontal="center" vertical="center"/>
    </xf>
    <xf numFmtId="0" fontId="8" fillId="8" borderId="34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7" fillId="0" borderId="26" xfId="0" applyFont="1" applyBorder="1"/>
    <xf numFmtId="0" fontId="0" fillId="0" borderId="26" xfId="0" applyBorder="1"/>
    <xf numFmtId="0" fontId="22" fillId="0" borderId="0" xfId="0" applyFont="1"/>
    <xf numFmtId="0" fontId="22" fillId="0" borderId="26" xfId="0" applyFont="1" applyBorder="1"/>
    <xf numFmtId="0" fontId="23" fillId="0" borderId="0" xfId="0" applyFont="1"/>
    <xf numFmtId="0" fontId="23" fillId="0" borderId="26" xfId="0" applyFont="1" applyBorder="1"/>
    <xf numFmtId="0" fontId="14" fillId="26" borderId="29" xfId="0" applyFont="1" applyFill="1" applyBorder="1" applyAlignment="1">
      <alignment horizontal="center" vertical="center"/>
    </xf>
    <xf numFmtId="0" fontId="7" fillId="23" borderId="34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2" fillId="6" borderId="41" xfId="0" applyFont="1" applyFill="1" applyBorder="1"/>
    <xf numFmtId="0" fontId="2" fillId="6" borderId="40" xfId="0" applyFont="1" applyFill="1" applyBorder="1"/>
    <xf numFmtId="0" fontId="11" fillId="11" borderId="1" xfId="0" applyFont="1" applyFill="1" applyBorder="1" applyAlignment="1">
      <alignment horizontal="center" vertical="center"/>
    </xf>
    <xf numFmtId="0" fontId="12" fillId="10" borderId="2" xfId="0" applyFont="1" applyFill="1" applyBorder="1"/>
    <xf numFmtId="0" fontId="12" fillId="10" borderId="3" xfId="0" applyFont="1" applyFill="1" applyBorder="1"/>
    <xf numFmtId="0" fontId="11" fillId="11" borderId="4" xfId="0" applyFont="1" applyFill="1" applyBorder="1" applyAlignment="1">
      <alignment horizontal="center" vertical="center"/>
    </xf>
    <xf numFmtId="0" fontId="12" fillId="10" borderId="41" xfId="0" applyFont="1" applyFill="1" applyBorder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21" fillId="0" borderId="0" xfId="0" applyFont="1"/>
    <xf numFmtId="0" fontId="4" fillId="0" borderId="17" xfId="0" applyFont="1" applyBorder="1" applyAlignment="1">
      <alignment horizontal="center" vertical="center"/>
    </xf>
    <xf numFmtId="0" fontId="2" fillId="0" borderId="41" xfId="0" applyFont="1" applyBorder="1"/>
    <xf numFmtId="0" fontId="2" fillId="0" borderId="40" xfId="0" applyFont="1" applyBorder="1"/>
    <xf numFmtId="0" fontId="11" fillId="12" borderId="7" xfId="0" applyFont="1" applyFill="1" applyBorder="1" applyAlignment="1">
      <alignment horizontal="center" vertical="center"/>
    </xf>
    <xf numFmtId="0" fontId="12" fillId="13" borderId="8" xfId="0" applyFont="1" applyFill="1" applyBorder="1"/>
    <xf numFmtId="0" fontId="12" fillId="13" borderId="9" xfId="0" applyFont="1" applyFill="1" applyBorder="1"/>
    <xf numFmtId="0" fontId="12" fillId="13" borderId="18" xfId="0" applyFont="1" applyFill="1" applyBorder="1"/>
    <xf numFmtId="0" fontId="12" fillId="13" borderId="19" xfId="0" applyFont="1" applyFill="1" applyBorder="1"/>
    <xf numFmtId="0" fontId="12" fillId="13" borderId="20" xfId="0" applyFont="1" applyFill="1" applyBorder="1"/>
    <xf numFmtId="0" fontId="11" fillId="12" borderId="10" xfId="0" applyFont="1" applyFill="1" applyBorder="1" applyAlignment="1">
      <alignment horizontal="center" vertical="center"/>
    </xf>
    <xf numFmtId="0" fontId="12" fillId="13" borderId="38" xfId="0" applyFont="1" applyFill="1" applyBorder="1"/>
    <xf numFmtId="0" fontId="12" fillId="13" borderId="21" xfId="0" applyFont="1" applyFill="1" applyBorder="1"/>
    <xf numFmtId="0" fontId="12" fillId="13" borderId="39" xfId="0" applyFont="1" applyFill="1" applyBorder="1"/>
    <xf numFmtId="0" fontId="11" fillId="12" borderId="11" xfId="0" applyFont="1" applyFill="1" applyBorder="1" applyAlignment="1">
      <alignment horizontal="center" vertical="center"/>
    </xf>
    <xf numFmtId="0" fontId="12" fillId="13" borderId="12" xfId="0" applyFont="1" applyFill="1" applyBorder="1"/>
    <xf numFmtId="0" fontId="12" fillId="13" borderId="13" xfId="0" applyFont="1" applyFill="1" applyBorder="1"/>
    <xf numFmtId="0" fontId="12" fillId="13" borderId="22" xfId="0" applyFont="1" applyFill="1" applyBorder="1"/>
    <xf numFmtId="0" fontId="12" fillId="13" borderId="23" xfId="0" applyFont="1" applyFill="1" applyBorder="1"/>
    <xf numFmtId="0" fontId="12" fillId="13" borderId="24" xfId="0" applyFont="1" applyFill="1" applyBorder="1"/>
    <xf numFmtId="0" fontId="11" fillId="12" borderId="14" xfId="0" applyFont="1" applyFill="1" applyBorder="1" applyAlignment="1">
      <alignment horizontal="center" vertical="center"/>
    </xf>
    <xf numFmtId="0" fontId="12" fillId="13" borderId="25" xfId="0" applyFont="1" applyFill="1" applyBorder="1"/>
    <xf numFmtId="0" fontId="5" fillId="7" borderId="5" xfId="0" applyFont="1" applyFill="1" applyBorder="1" applyAlignment="1">
      <alignment horizontal="center" vertical="center"/>
    </xf>
    <xf numFmtId="0" fontId="2" fillId="6" borderId="15" xfId="0" applyFont="1" applyFill="1" applyBorder="1"/>
    <xf numFmtId="0" fontId="2" fillId="6" borderId="30" xfId="0" applyFont="1" applyFill="1" applyBorder="1"/>
    <xf numFmtId="0" fontId="9" fillId="9" borderId="1" xfId="0" applyFont="1" applyFill="1" applyBorder="1" applyAlignment="1">
      <alignment horizontal="center" vertical="center"/>
    </xf>
    <xf numFmtId="0" fontId="10" fillId="10" borderId="2" xfId="0" applyFont="1" applyFill="1" applyBorder="1"/>
    <xf numFmtId="0" fontId="10" fillId="10" borderId="3" xfId="0" applyFont="1" applyFill="1" applyBorder="1"/>
    <xf numFmtId="0" fontId="9" fillId="9" borderId="4" xfId="0" applyFont="1" applyFill="1" applyBorder="1" applyAlignment="1">
      <alignment horizontal="center" vertical="center"/>
    </xf>
    <xf numFmtId="0" fontId="10" fillId="10" borderId="41" xfId="0" applyFont="1" applyFill="1" applyBorder="1"/>
    <xf numFmtId="0" fontId="1" fillId="7" borderId="17" xfId="0" applyFont="1" applyFill="1" applyBorder="1" applyAlignment="1">
      <alignment horizontal="center" vertical="center"/>
    </xf>
    <xf numFmtId="0" fontId="8" fillId="18" borderId="5" xfId="0" applyFont="1" applyFill="1" applyBorder="1" applyAlignment="1">
      <alignment horizontal="center" vertical="center" textRotation="90"/>
    </xf>
    <xf numFmtId="0" fontId="10" fillId="19" borderId="15" xfId="0" applyFont="1" applyFill="1" applyBorder="1"/>
    <xf numFmtId="0" fontId="10" fillId="19" borderId="30" xfId="0" applyFont="1" applyFill="1" applyBorder="1"/>
    <xf numFmtId="0" fontId="3" fillId="22" borderId="5" xfId="0" applyFont="1" applyFill="1" applyBorder="1" applyAlignment="1">
      <alignment horizontal="center" vertical="center" textRotation="90"/>
    </xf>
    <xf numFmtId="0" fontId="2" fillId="23" borderId="15" xfId="0" applyFont="1" applyFill="1" applyBorder="1"/>
    <xf numFmtId="0" fontId="2" fillId="23" borderId="30" xfId="0" applyFont="1" applyFill="1" applyBorder="1"/>
    <xf numFmtId="0" fontId="8" fillId="16" borderId="6" xfId="0" applyFont="1" applyFill="1" applyBorder="1" applyAlignment="1">
      <alignment horizontal="center" vertical="center" textRotation="90"/>
    </xf>
    <xf numFmtId="0" fontId="10" fillId="17" borderId="16" xfId="0" applyFont="1" applyFill="1" applyBorder="1"/>
    <xf numFmtId="0" fontId="10" fillId="17" borderId="27" xfId="0" applyFont="1" applyFill="1" applyBorder="1"/>
    <xf numFmtId="0" fontId="8" fillId="15" borderId="5" xfId="0" applyFont="1" applyFill="1" applyBorder="1" applyAlignment="1">
      <alignment horizontal="center" vertical="center" textRotation="90"/>
    </xf>
    <xf numFmtId="0" fontId="10" fillId="14" borderId="15" xfId="0" applyFont="1" applyFill="1" applyBorder="1"/>
    <xf numFmtId="0" fontId="10" fillId="14" borderId="30" xfId="0" applyFont="1" applyFill="1" applyBorder="1"/>
    <xf numFmtId="0" fontId="3" fillId="2" borderId="5" xfId="0" applyFont="1" applyFill="1" applyBorder="1" applyAlignment="1">
      <alignment horizontal="center" vertical="center" textRotation="90" wrapText="1"/>
    </xf>
    <xf numFmtId="0" fontId="2" fillId="0" borderId="15" xfId="0" applyFont="1" applyBorder="1"/>
    <xf numFmtId="0" fontId="2" fillId="0" borderId="30" xfId="0" applyFont="1" applyBorder="1"/>
    <xf numFmtId="0" fontId="6" fillId="0" borderId="1" xfId="0" applyFont="1" applyBorder="1" applyAlignment="1">
      <alignment horizontal="left" vertical="center" wrapText="1"/>
    </xf>
    <xf numFmtId="0" fontId="2" fillId="0" borderId="2" xfId="0" applyFont="1" applyBorder="1"/>
    <xf numFmtId="0" fontId="22" fillId="0" borderId="26" xfId="0" applyFont="1" applyBorder="1" applyAlignment="1">
      <alignment horizontal="center"/>
    </xf>
    <xf numFmtId="0" fontId="15" fillId="0" borderId="1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0" fontId="7" fillId="0" borderId="4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45" xfId="0" applyFont="1" applyBorder="1" applyAlignment="1">
      <alignment horizontal="center"/>
    </xf>
    <xf numFmtId="0" fontId="11" fillId="11" borderId="41" xfId="0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12" fillId="13" borderId="26" xfId="0" applyFont="1" applyFill="1" applyBorder="1"/>
    <xf numFmtId="0" fontId="9" fillId="9" borderId="41" xfId="0" applyFont="1" applyFill="1" applyBorder="1" applyAlignment="1">
      <alignment horizontal="center" vertical="center"/>
    </xf>
    <xf numFmtId="0" fontId="7" fillId="23" borderId="34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41" xfId="0" applyFont="1" applyBorder="1" applyAlignment="1">
      <alignment horizontal="center" vertical="center"/>
    </xf>
    <xf numFmtId="0" fontId="24" fillId="0" borderId="40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textRotation="90" wrapText="1"/>
    </xf>
    <xf numFmtId="0" fontId="3" fillId="2" borderId="3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27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  <color auto="1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ont>
        <b/>
        <i val="0"/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59</xdr:col>
      <xdr:colOff>161925</xdr:colOff>
      <xdr:row>0</xdr:row>
      <xdr:rowOff>28575</xdr:rowOff>
    </xdr:from>
    <xdr:ext cx="1952625" cy="1209675"/>
    <xdr:pic>
      <xdr:nvPicPr>
        <xdr:cNvPr id="3" name="image1.png">
          <a:extLst>
            <a:ext uri="{FF2B5EF4-FFF2-40B4-BE49-F238E27FC236}">
              <a16:creationId xmlns:a16="http://schemas.microsoft.com/office/drawing/2014/main" id="{554AFFE1-E16A-4B3B-B3E8-603AC10C9FF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06500" y="28575"/>
          <a:ext cx="1952625" cy="1209675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200025</xdr:colOff>
      <xdr:row>0</xdr:row>
      <xdr:rowOff>95250</xdr:rowOff>
    </xdr:from>
    <xdr:to>
      <xdr:col>2</xdr:col>
      <xdr:colOff>1984330</xdr:colOff>
      <xdr:row>4</xdr:row>
      <xdr:rowOff>257037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FD8AEB28-3B25-42A8-B197-DE766CE57E08}"/>
            </a:ext>
          </a:extLst>
        </xdr:cNvPr>
        <xdr:cNvGrpSpPr/>
      </xdr:nvGrpSpPr>
      <xdr:grpSpPr>
        <a:xfrm>
          <a:off x="504825" y="95250"/>
          <a:ext cx="2571705" cy="1101587"/>
          <a:chOff x="1364742" y="76338"/>
          <a:chExt cx="2470105" cy="1123812"/>
        </a:xfrm>
      </xdr:grpSpPr>
      <xdr:sp macro="" textlink="">
        <xdr:nvSpPr>
          <xdr:cNvPr id="10" name="Shape 3">
            <a:extLst>
              <a:ext uri="{FF2B5EF4-FFF2-40B4-BE49-F238E27FC236}">
                <a16:creationId xmlns:a16="http://schemas.microsoft.com/office/drawing/2014/main" id="{BADFFA50-0DBC-4634-AABB-454ADFEE8CB7}"/>
              </a:ext>
            </a:extLst>
          </xdr:cNvPr>
          <xdr:cNvSpPr/>
        </xdr:nvSpPr>
        <xdr:spPr>
          <a:xfrm>
            <a:off x="1364742" y="76338"/>
            <a:ext cx="2470105" cy="1123812"/>
          </a:xfrm>
          <a:prstGeom prst="roundRect">
            <a:avLst>
              <a:gd name="adj" fmla="val 16667"/>
            </a:avLst>
          </a:prstGeom>
          <a:solidFill>
            <a:schemeClr val="bg2">
              <a:lumMod val="85000"/>
            </a:schemeClr>
          </a:solidFill>
          <a:ln w="25400" cap="flat" cmpd="sng">
            <a:solidFill>
              <a:schemeClr val="accent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600"/>
              <a:buFont typeface="Cambria"/>
              <a:buNone/>
            </a:pPr>
            <a:r>
              <a:rPr lang="en-US" sz="10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COLOCAR  EN CADA CASILLERO</a:t>
            </a:r>
          </a:p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600"/>
              <a:buFont typeface="Cambria"/>
              <a:buNone/>
            </a:pPr>
            <a:endParaRPr sz="6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800"/>
              <a:buFont typeface="Cambria"/>
              <a:buNone/>
            </a:pPr>
            <a:r>
              <a:rPr lang="en-US" sz="800" b="1" baseline="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           </a:t>
            </a:r>
            <a:r>
              <a:rPr lang="en-US" sz="1100" b="1" baseline="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A</a:t>
            </a:r>
            <a:r>
              <a:rPr lang="en-US" sz="11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T   </a:t>
            </a:r>
            <a: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= ATRASO</a:t>
            </a:r>
            <a:b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</a:br>
            <a:r>
              <a:rPr lang="en-US" sz="11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           J       </a:t>
            </a:r>
            <a: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= FALTA JUTIFICADA</a:t>
            </a:r>
            <a:endParaRPr sz="11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700"/>
              <a:buFont typeface="Cambria"/>
              <a:buNone/>
            </a:pPr>
            <a:r>
              <a:rPr lang="en-US" sz="11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           F       </a:t>
            </a:r>
            <a: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= FALTA  INJUSTIFICADA</a:t>
            </a:r>
            <a:endParaRPr sz="11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800"/>
              <a:buFont typeface="Cambria"/>
              <a:buNone/>
            </a:pPr>
            <a:r>
              <a:rPr lang="en-US" sz="11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          A      </a:t>
            </a:r>
            <a: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= ASISTE</a:t>
            </a:r>
            <a:endParaRPr sz="1100">
              <a:latin typeface="Cambria"/>
              <a:ea typeface="Cambria"/>
              <a:cs typeface="Cambria"/>
              <a:sym typeface="Cambria"/>
            </a:endParaRPr>
          </a:p>
        </xdr:txBody>
      </xdr:sp>
      <xdr:pic>
        <xdr:nvPicPr>
          <xdr:cNvPr id="11" name="Gráfico 10" descr="Portapapeles con relleno sólido">
            <a:extLst>
              <a:ext uri="{FF2B5EF4-FFF2-40B4-BE49-F238E27FC236}">
                <a16:creationId xmlns:a16="http://schemas.microsoft.com/office/drawing/2014/main" id="{91FE8D30-47C4-449E-9F2F-8B78FB5C012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406129" y="195627"/>
            <a:ext cx="415832" cy="413940"/>
          </a:xfrm>
          <a:prstGeom prst="rect">
            <a:avLst/>
          </a:prstGeom>
        </xdr:spPr>
      </xdr:pic>
      <xdr:grpSp>
        <xdr:nvGrpSpPr>
          <xdr:cNvPr id="12" name="Grupo 11">
            <a:extLst>
              <a:ext uri="{FF2B5EF4-FFF2-40B4-BE49-F238E27FC236}">
                <a16:creationId xmlns:a16="http://schemas.microsoft.com/office/drawing/2014/main" id="{710D669A-5BEE-49FA-B457-E4FD4374A62B}"/>
              </a:ext>
            </a:extLst>
          </xdr:cNvPr>
          <xdr:cNvGrpSpPr/>
        </xdr:nvGrpSpPr>
        <xdr:grpSpPr>
          <a:xfrm>
            <a:off x="1535723" y="388327"/>
            <a:ext cx="164123" cy="710710"/>
            <a:chOff x="1535723" y="388327"/>
            <a:chExt cx="164123" cy="710710"/>
          </a:xfrm>
        </xdr:grpSpPr>
        <xdr:sp macro="" textlink="">
          <xdr:nvSpPr>
            <xdr:cNvPr id="13" name="Rectángulo 12">
              <a:extLst>
                <a:ext uri="{FF2B5EF4-FFF2-40B4-BE49-F238E27FC236}">
                  <a16:creationId xmlns:a16="http://schemas.microsoft.com/office/drawing/2014/main" id="{3B63F1F5-B47D-4A8F-B38F-F363CC0D8744}"/>
                </a:ext>
              </a:extLst>
            </xdr:cNvPr>
            <xdr:cNvSpPr/>
          </xdr:nvSpPr>
          <xdr:spPr>
            <a:xfrm>
              <a:off x="1545980" y="388327"/>
              <a:ext cx="153866" cy="161192"/>
            </a:xfrm>
            <a:prstGeom prst="rec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C" sz="1100"/>
            </a:p>
          </xdr:txBody>
        </xdr:sp>
        <xdr:sp macro="" textlink="">
          <xdr:nvSpPr>
            <xdr:cNvPr id="14" name="Rectángulo 13">
              <a:extLst>
                <a:ext uri="{FF2B5EF4-FFF2-40B4-BE49-F238E27FC236}">
                  <a16:creationId xmlns:a16="http://schemas.microsoft.com/office/drawing/2014/main" id="{B170BE25-370A-4FCC-992C-FAAE36576EC1}"/>
                </a:ext>
              </a:extLst>
            </xdr:cNvPr>
            <xdr:cNvSpPr/>
          </xdr:nvSpPr>
          <xdr:spPr>
            <a:xfrm>
              <a:off x="1543050" y="570767"/>
              <a:ext cx="142875" cy="152400"/>
            </a:xfrm>
            <a:prstGeom prst="rect">
              <a:avLst/>
            </a:prstGeom>
            <a:solidFill>
              <a:srgbClr val="00B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C" sz="1100"/>
            </a:p>
          </xdr:txBody>
        </xdr:sp>
        <xdr:sp macro="" textlink="">
          <xdr:nvSpPr>
            <xdr:cNvPr id="15" name="Rectángulo 14">
              <a:extLst>
                <a:ext uri="{FF2B5EF4-FFF2-40B4-BE49-F238E27FC236}">
                  <a16:creationId xmlns:a16="http://schemas.microsoft.com/office/drawing/2014/main" id="{21903810-3005-406F-8F5C-E812A38A1685}"/>
                </a:ext>
              </a:extLst>
            </xdr:cNvPr>
            <xdr:cNvSpPr/>
          </xdr:nvSpPr>
          <xdr:spPr>
            <a:xfrm>
              <a:off x="1535723" y="749545"/>
              <a:ext cx="149469" cy="158994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C" sz="1100"/>
            </a:p>
          </xdr:txBody>
        </xdr:sp>
        <xdr:sp macro="" textlink="">
          <xdr:nvSpPr>
            <xdr:cNvPr id="16" name="Rectángulo 15">
              <a:extLst>
                <a:ext uri="{FF2B5EF4-FFF2-40B4-BE49-F238E27FC236}">
                  <a16:creationId xmlns:a16="http://schemas.microsoft.com/office/drawing/2014/main" id="{A05774CD-7078-49CB-939A-2A5725DCCDB6}"/>
                </a:ext>
              </a:extLst>
            </xdr:cNvPr>
            <xdr:cNvSpPr/>
          </xdr:nvSpPr>
          <xdr:spPr>
            <a:xfrm>
              <a:off x="1541584" y="938578"/>
              <a:ext cx="143608" cy="160459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C" sz="1100"/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55</xdr:col>
      <xdr:colOff>161925</xdr:colOff>
      <xdr:row>0</xdr:row>
      <xdr:rowOff>28575</xdr:rowOff>
    </xdr:from>
    <xdr:ext cx="1952625" cy="1209675"/>
    <xdr:pic>
      <xdr:nvPicPr>
        <xdr:cNvPr id="3" name="image1.png">
          <a:extLst>
            <a:ext uri="{FF2B5EF4-FFF2-40B4-BE49-F238E27FC236}">
              <a16:creationId xmlns:a16="http://schemas.microsoft.com/office/drawing/2014/main" id="{FBDBA131-E6C3-4C65-9574-2DE58E9ABF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06500" y="28575"/>
          <a:ext cx="1952625" cy="1209675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190500</xdr:colOff>
      <xdr:row>0</xdr:row>
      <xdr:rowOff>47625</xdr:rowOff>
    </xdr:from>
    <xdr:to>
      <xdr:col>2</xdr:col>
      <xdr:colOff>1974805</xdr:colOff>
      <xdr:row>4</xdr:row>
      <xdr:rowOff>218937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37BB034E-5B00-4BF1-A381-19397C9289D7}"/>
            </a:ext>
          </a:extLst>
        </xdr:cNvPr>
        <xdr:cNvGrpSpPr/>
      </xdr:nvGrpSpPr>
      <xdr:grpSpPr>
        <a:xfrm>
          <a:off x="495300" y="47625"/>
          <a:ext cx="2571705" cy="1111112"/>
          <a:chOff x="1364742" y="76338"/>
          <a:chExt cx="2470105" cy="1123812"/>
        </a:xfrm>
      </xdr:grpSpPr>
      <xdr:sp macro="" textlink="">
        <xdr:nvSpPr>
          <xdr:cNvPr id="12" name="Shape 3">
            <a:extLst>
              <a:ext uri="{FF2B5EF4-FFF2-40B4-BE49-F238E27FC236}">
                <a16:creationId xmlns:a16="http://schemas.microsoft.com/office/drawing/2014/main" id="{BA5478C7-626A-4F3F-A5AA-CEE27B1E9820}"/>
              </a:ext>
            </a:extLst>
          </xdr:cNvPr>
          <xdr:cNvSpPr/>
        </xdr:nvSpPr>
        <xdr:spPr>
          <a:xfrm>
            <a:off x="1364742" y="76338"/>
            <a:ext cx="2470105" cy="1123812"/>
          </a:xfrm>
          <a:prstGeom prst="roundRect">
            <a:avLst>
              <a:gd name="adj" fmla="val 16667"/>
            </a:avLst>
          </a:prstGeom>
          <a:solidFill>
            <a:schemeClr val="bg2">
              <a:lumMod val="85000"/>
            </a:schemeClr>
          </a:solidFill>
          <a:ln w="25400" cap="flat" cmpd="sng">
            <a:solidFill>
              <a:schemeClr val="accent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600"/>
              <a:buFont typeface="Cambria"/>
              <a:buNone/>
            </a:pPr>
            <a:r>
              <a:rPr lang="en-US" sz="10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COLOCAR  EN CADA CASILLERO</a:t>
            </a:r>
          </a:p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600"/>
              <a:buFont typeface="Cambria"/>
              <a:buNone/>
            </a:pPr>
            <a:endParaRPr sz="6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800"/>
              <a:buFont typeface="Cambria"/>
              <a:buNone/>
            </a:pPr>
            <a:r>
              <a:rPr lang="en-US" sz="800" b="1" baseline="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           </a:t>
            </a:r>
            <a:r>
              <a:rPr lang="en-US" sz="1100" b="1" baseline="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A</a:t>
            </a:r>
            <a:r>
              <a:rPr lang="en-US" sz="11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T   </a:t>
            </a:r>
            <a: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= ATRASO</a:t>
            </a:r>
            <a:b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</a:br>
            <a:r>
              <a:rPr lang="en-US" sz="11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           J       </a:t>
            </a:r>
            <a: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= FALTA JUTIFICADA</a:t>
            </a:r>
            <a:endParaRPr sz="11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700"/>
              <a:buFont typeface="Cambria"/>
              <a:buNone/>
            </a:pPr>
            <a:r>
              <a:rPr lang="en-US" sz="11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           F       </a:t>
            </a:r>
            <a: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= FALTA  INJUSTIFICADA</a:t>
            </a:r>
            <a:endParaRPr sz="11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800"/>
              <a:buFont typeface="Cambria"/>
              <a:buNone/>
            </a:pPr>
            <a:r>
              <a:rPr lang="en-US" sz="11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          A      </a:t>
            </a:r>
            <a: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= ASISTE</a:t>
            </a:r>
            <a:endParaRPr sz="1100">
              <a:latin typeface="Cambria"/>
              <a:ea typeface="Cambria"/>
              <a:cs typeface="Cambria"/>
              <a:sym typeface="Cambria"/>
            </a:endParaRPr>
          </a:p>
        </xdr:txBody>
      </xdr:sp>
      <xdr:pic>
        <xdr:nvPicPr>
          <xdr:cNvPr id="13" name="Gráfico 12" descr="Portapapeles con relleno sólido">
            <a:extLst>
              <a:ext uri="{FF2B5EF4-FFF2-40B4-BE49-F238E27FC236}">
                <a16:creationId xmlns:a16="http://schemas.microsoft.com/office/drawing/2014/main" id="{662DE5EB-3B66-4944-AC05-613A12CD062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406129" y="195627"/>
            <a:ext cx="415832" cy="413940"/>
          </a:xfrm>
          <a:prstGeom prst="rect">
            <a:avLst/>
          </a:prstGeom>
        </xdr:spPr>
      </xdr:pic>
      <xdr:grpSp>
        <xdr:nvGrpSpPr>
          <xdr:cNvPr id="14" name="Grupo 13">
            <a:extLst>
              <a:ext uri="{FF2B5EF4-FFF2-40B4-BE49-F238E27FC236}">
                <a16:creationId xmlns:a16="http://schemas.microsoft.com/office/drawing/2014/main" id="{FF2F6D48-924E-40F9-8F25-DC38C5B39118}"/>
              </a:ext>
            </a:extLst>
          </xdr:cNvPr>
          <xdr:cNvGrpSpPr/>
        </xdr:nvGrpSpPr>
        <xdr:grpSpPr>
          <a:xfrm>
            <a:off x="1535723" y="388327"/>
            <a:ext cx="164123" cy="710710"/>
            <a:chOff x="1535723" y="388327"/>
            <a:chExt cx="164123" cy="710710"/>
          </a:xfrm>
        </xdr:grpSpPr>
        <xdr:sp macro="" textlink="">
          <xdr:nvSpPr>
            <xdr:cNvPr id="15" name="Rectángulo 14">
              <a:extLst>
                <a:ext uri="{FF2B5EF4-FFF2-40B4-BE49-F238E27FC236}">
                  <a16:creationId xmlns:a16="http://schemas.microsoft.com/office/drawing/2014/main" id="{50148C78-A410-4767-951A-4896C52A9E56}"/>
                </a:ext>
              </a:extLst>
            </xdr:cNvPr>
            <xdr:cNvSpPr/>
          </xdr:nvSpPr>
          <xdr:spPr>
            <a:xfrm>
              <a:off x="1545980" y="388327"/>
              <a:ext cx="153866" cy="161192"/>
            </a:xfrm>
            <a:prstGeom prst="rec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C" sz="1100"/>
            </a:p>
          </xdr:txBody>
        </xdr:sp>
        <xdr:sp macro="" textlink="">
          <xdr:nvSpPr>
            <xdr:cNvPr id="16" name="Rectángulo 15">
              <a:extLst>
                <a:ext uri="{FF2B5EF4-FFF2-40B4-BE49-F238E27FC236}">
                  <a16:creationId xmlns:a16="http://schemas.microsoft.com/office/drawing/2014/main" id="{7AF9B396-9858-4499-B86C-D289173D39CB}"/>
                </a:ext>
              </a:extLst>
            </xdr:cNvPr>
            <xdr:cNvSpPr/>
          </xdr:nvSpPr>
          <xdr:spPr>
            <a:xfrm>
              <a:off x="1543050" y="570767"/>
              <a:ext cx="142875" cy="152400"/>
            </a:xfrm>
            <a:prstGeom prst="rect">
              <a:avLst/>
            </a:prstGeom>
            <a:solidFill>
              <a:srgbClr val="00B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C" sz="1100"/>
            </a:p>
          </xdr:txBody>
        </xdr:sp>
        <xdr:sp macro="" textlink="">
          <xdr:nvSpPr>
            <xdr:cNvPr id="17" name="Rectángulo 16">
              <a:extLst>
                <a:ext uri="{FF2B5EF4-FFF2-40B4-BE49-F238E27FC236}">
                  <a16:creationId xmlns:a16="http://schemas.microsoft.com/office/drawing/2014/main" id="{8BB2AA6D-8E56-47C4-BB9E-C2666AADFE41}"/>
                </a:ext>
              </a:extLst>
            </xdr:cNvPr>
            <xdr:cNvSpPr/>
          </xdr:nvSpPr>
          <xdr:spPr>
            <a:xfrm>
              <a:off x="1535723" y="749545"/>
              <a:ext cx="149469" cy="158994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C" sz="1100"/>
            </a:p>
          </xdr:txBody>
        </xdr:sp>
        <xdr:sp macro="" textlink="">
          <xdr:nvSpPr>
            <xdr:cNvPr id="18" name="Rectángulo 17">
              <a:extLst>
                <a:ext uri="{FF2B5EF4-FFF2-40B4-BE49-F238E27FC236}">
                  <a16:creationId xmlns:a16="http://schemas.microsoft.com/office/drawing/2014/main" id="{C77C06A6-F561-4577-A4C4-AE2266B38108}"/>
                </a:ext>
              </a:extLst>
            </xdr:cNvPr>
            <xdr:cNvSpPr/>
          </xdr:nvSpPr>
          <xdr:spPr>
            <a:xfrm>
              <a:off x="1541584" y="938578"/>
              <a:ext cx="143608" cy="160459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C" sz="11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52</xdr:col>
      <xdr:colOff>161925</xdr:colOff>
      <xdr:row>0</xdr:row>
      <xdr:rowOff>28575</xdr:rowOff>
    </xdr:from>
    <xdr:ext cx="1952625" cy="1209675"/>
    <xdr:pic>
      <xdr:nvPicPr>
        <xdr:cNvPr id="3" name="image1.png">
          <a:extLst>
            <a:ext uri="{FF2B5EF4-FFF2-40B4-BE49-F238E27FC236}">
              <a16:creationId xmlns:a16="http://schemas.microsoft.com/office/drawing/2014/main" id="{16181C2D-6332-4600-8379-1B97185F88F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201650" y="28575"/>
          <a:ext cx="1952625" cy="1209675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221742</xdr:colOff>
      <xdr:row>0</xdr:row>
      <xdr:rowOff>83665</xdr:rowOff>
    </xdr:from>
    <xdr:to>
      <xdr:col>2</xdr:col>
      <xdr:colOff>2003116</xdr:colOff>
      <xdr:row>4</xdr:row>
      <xdr:rowOff>247650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F3CD603C-76FF-45E3-BC79-008E83101892}"/>
            </a:ext>
          </a:extLst>
        </xdr:cNvPr>
        <xdr:cNvGrpSpPr/>
      </xdr:nvGrpSpPr>
      <xdr:grpSpPr>
        <a:xfrm>
          <a:off x="526542" y="83665"/>
          <a:ext cx="2568774" cy="1116485"/>
          <a:chOff x="1364742" y="76338"/>
          <a:chExt cx="2470105" cy="1123812"/>
        </a:xfrm>
      </xdr:grpSpPr>
      <xdr:sp macro="" textlink="">
        <xdr:nvSpPr>
          <xdr:cNvPr id="2" name="Shape 3">
            <a:extLst>
              <a:ext uri="{FF2B5EF4-FFF2-40B4-BE49-F238E27FC236}">
                <a16:creationId xmlns:a16="http://schemas.microsoft.com/office/drawing/2014/main" id="{F0EB7B47-01DB-4B93-B328-740F9F9A8BA7}"/>
              </a:ext>
            </a:extLst>
          </xdr:cNvPr>
          <xdr:cNvSpPr/>
        </xdr:nvSpPr>
        <xdr:spPr>
          <a:xfrm>
            <a:off x="1364742" y="76338"/>
            <a:ext cx="2470105" cy="1123812"/>
          </a:xfrm>
          <a:prstGeom prst="roundRect">
            <a:avLst>
              <a:gd name="adj" fmla="val 16667"/>
            </a:avLst>
          </a:prstGeom>
          <a:solidFill>
            <a:schemeClr val="bg2">
              <a:lumMod val="85000"/>
            </a:schemeClr>
          </a:solidFill>
          <a:ln w="25400" cap="flat" cmpd="sng">
            <a:solidFill>
              <a:schemeClr val="accent1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600"/>
              <a:buFont typeface="Cambria"/>
              <a:buNone/>
            </a:pPr>
            <a:r>
              <a:rPr lang="en-US" sz="10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COLOCAR  EN CADA CASILLERO</a:t>
            </a:r>
          </a:p>
          <a:p>
            <a:pPr marL="0" marR="0" lvl="0" indent="0" algn="ctr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600"/>
              <a:buFont typeface="Cambria"/>
              <a:buNone/>
            </a:pPr>
            <a:endParaRPr sz="6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800"/>
              <a:buFont typeface="Cambria"/>
              <a:buNone/>
            </a:pPr>
            <a:r>
              <a:rPr lang="en-US" sz="800" b="1" baseline="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           </a:t>
            </a:r>
            <a:r>
              <a:rPr lang="en-US" sz="1100" b="1" baseline="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A</a:t>
            </a:r>
            <a:r>
              <a:rPr lang="en-US" sz="11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T   </a:t>
            </a:r>
            <a: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= ATRASO</a:t>
            </a:r>
            <a:b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</a:br>
            <a:r>
              <a:rPr lang="en-US" sz="11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           J       </a:t>
            </a:r>
            <a: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= FALTA JUTIFICADA</a:t>
            </a:r>
            <a:endParaRPr sz="11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700"/>
              <a:buFont typeface="Cambria"/>
              <a:buNone/>
            </a:pPr>
            <a:r>
              <a:rPr lang="en-US" sz="11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           F       </a:t>
            </a:r>
            <a: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= FALTA  INJUSTIFICADA</a:t>
            </a:r>
            <a:endParaRPr sz="1100"/>
          </a:p>
          <a:p>
            <a:pPr marL="0" marR="0" lvl="0" indent="0" algn="l" rtl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>
                <a:schemeClr val="dk1"/>
              </a:buClr>
              <a:buSzPts val="800"/>
              <a:buFont typeface="Cambria"/>
              <a:buNone/>
            </a:pPr>
            <a:r>
              <a:rPr lang="en-US" sz="1100" b="1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          A      </a:t>
            </a:r>
            <a:r>
              <a:rPr lang="en-US" sz="1100">
                <a:solidFill>
                  <a:schemeClr val="dk1"/>
                </a:solidFill>
                <a:latin typeface="Cambria"/>
                <a:ea typeface="Cambria"/>
                <a:cs typeface="Cambria"/>
                <a:sym typeface="Cambria"/>
              </a:rPr>
              <a:t>= ASISTE</a:t>
            </a:r>
            <a:endParaRPr sz="1100">
              <a:latin typeface="Cambria"/>
              <a:ea typeface="Cambria"/>
              <a:cs typeface="Cambria"/>
              <a:sym typeface="Cambria"/>
            </a:endParaRPr>
          </a:p>
        </xdr:txBody>
      </xdr:sp>
      <xdr:pic>
        <xdr:nvPicPr>
          <xdr:cNvPr id="4" name="Gráfico 3" descr="Portapapeles con relleno sólido">
            <a:extLst>
              <a:ext uri="{FF2B5EF4-FFF2-40B4-BE49-F238E27FC236}">
                <a16:creationId xmlns:a16="http://schemas.microsoft.com/office/drawing/2014/main" id="{62E85805-F980-416F-A06D-520569F6E6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3406129" y="195627"/>
            <a:ext cx="415832" cy="413940"/>
          </a:xfrm>
          <a:prstGeom prst="rect">
            <a:avLst/>
          </a:prstGeom>
        </xdr:spPr>
      </xdr:pic>
      <xdr:grpSp>
        <xdr:nvGrpSpPr>
          <xdr:cNvPr id="10" name="Grupo 9">
            <a:extLst>
              <a:ext uri="{FF2B5EF4-FFF2-40B4-BE49-F238E27FC236}">
                <a16:creationId xmlns:a16="http://schemas.microsoft.com/office/drawing/2014/main" id="{F8F15100-6DAA-4F80-A64B-9E73DE89FAC2}"/>
              </a:ext>
            </a:extLst>
          </xdr:cNvPr>
          <xdr:cNvGrpSpPr/>
        </xdr:nvGrpSpPr>
        <xdr:grpSpPr>
          <a:xfrm>
            <a:off x="1535723" y="388327"/>
            <a:ext cx="164123" cy="710710"/>
            <a:chOff x="1535723" y="388327"/>
            <a:chExt cx="164123" cy="710710"/>
          </a:xfrm>
        </xdr:grpSpPr>
        <xdr:sp macro="" textlink="">
          <xdr:nvSpPr>
            <xdr:cNvPr id="5" name="Rectángulo 4">
              <a:extLst>
                <a:ext uri="{FF2B5EF4-FFF2-40B4-BE49-F238E27FC236}">
                  <a16:creationId xmlns:a16="http://schemas.microsoft.com/office/drawing/2014/main" id="{50947A52-C8EF-40B2-82C3-4415E85104E4}"/>
                </a:ext>
              </a:extLst>
            </xdr:cNvPr>
            <xdr:cNvSpPr/>
          </xdr:nvSpPr>
          <xdr:spPr>
            <a:xfrm>
              <a:off x="1545980" y="388327"/>
              <a:ext cx="153866" cy="161192"/>
            </a:xfrm>
            <a:prstGeom prst="rect">
              <a:avLst/>
            </a:prstGeom>
            <a:solidFill>
              <a:srgbClr val="FFC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C" sz="1100"/>
            </a:p>
          </xdr:txBody>
        </xdr:sp>
        <xdr:sp macro="" textlink="">
          <xdr:nvSpPr>
            <xdr:cNvPr id="6" name="Rectángulo 5">
              <a:extLst>
                <a:ext uri="{FF2B5EF4-FFF2-40B4-BE49-F238E27FC236}">
                  <a16:creationId xmlns:a16="http://schemas.microsoft.com/office/drawing/2014/main" id="{F7394DF7-AF3C-44C3-9EC4-99EC13FA191B}"/>
                </a:ext>
              </a:extLst>
            </xdr:cNvPr>
            <xdr:cNvSpPr/>
          </xdr:nvSpPr>
          <xdr:spPr>
            <a:xfrm>
              <a:off x="1543050" y="570767"/>
              <a:ext cx="142875" cy="152400"/>
            </a:xfrm>
            <a:prstGeom prst="rect">
              <a:avLst/>
            </a:prstGeom>
            <a:solidFill>
              <a:srgbClr val="00B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C" sz="1100"/>
            </a:p>
          </xdr:txBody>
        </xdr:sp>
        <xdr:sp macro="" textlink="">
          <xdr:nvSpPr>
            <xdr:cNvPr id="7" name="Rectángulo 6">
              <a:extLst>
                <a:ext uri="{FF2B5EF4-FFF2-40B4-BE49-F238E27FC236}">
                  <a16:creationId xmlns:a16="http://schemas.microsoft.com/office/drawing/2014/main" id="{0721C167-12D2-42F3-BCDD-E837CFC482B0}"/>
                </a:ext>
              </a:extLst>
            </xdr:cNvPr>
            <xdr:cNvSpPr/>
          </xdr:nvSpPr>
          <xdr:spPr>
            <a:xfrm>
              <a:off x="1535723" y="749545"/>
              <a:ext cx="149469" cy="158994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C" sz="1100"/>
            </a:p>
          </xdr:txBody>
        </xdr:sp>
        <xdr:sp macro="" textlink="">
          <xdr:nvSpPr>
            <xdr:cNvPr id="9" name="Rectángulo 8">
              <a:extLst>
                <a:ext uri="{FF2B5EF4-FFF2-40B4-BE49-F238E27FC236}">
                  <a16:creationId xmlns:a16="http://schemas.microsoft.com/office/drawing/2014/main" id="{9017ED05-A22B-461D-BCD2-795894BFC570}"/>
                </a:ext>
              </a:extLst>
            </xdr:cNvPr>
            <xdr:cNvSpPr/>
          </xdr:nvSpPr>
          <xdr:spPr>
            <a:xfrm>
              <a:off x="1541584" y="938578"/>
              <a:ext cx="143608" cy="160459"/>
            </a:xfrm>
            <a:prstGeom prst="rect">
              <a:avLst/>
            </a:prstGeom>
            <a:solidFill>
              <a:schemeClr val="accent1">
                <a:lumMod val="40000"/>
                <a:lumOff val="60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EC" sz="11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ialuisa_000@hotmail.com" TargetMode="External"/><Relationship Id="rId1" Type="http://schemas.openxmlformats.org/officeDocument/2006/relationships/hyperlink" Target="mailto:marialuisa_000@hot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marialuisa_000@hotmail.com" TargetMode="External"/><Relationship Id="rId1" Type="http://schemas.openxmlformats.org/officeDocument/2006/relationships/hyperlink" Target="mailto:marialuisa_000@hotmail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marialuisa_000@hotmail.com" TargetMode="External"/><Relationship Id="rId1" Type="http://schemas.openxmlformats.org/officeDocument/2006/relationships/hyperlink" Target="mailto:marialuisa_000@hotmail.com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B61D-D726-46A9-A65F-1EBB7B5010BA}">
  <sheetPr>
    <tabColor rgb="FFC00000"/>
  </sheetPr>
  <dimension ref="A1:CC1006"/>
  <sheetViews>
    <sheetView tabSelected="1" zoomScaleNormal="100" workbookViewId="0">
      <selection activeCell="AS45" sqref="AS45:BG45"/>
    </sheetView>
  </sheetViews>
  <sheetFormatPr baseColWidth="10" defaultColWidth="14.5" defaultRowHeight="15" customHeight="1" x14ac:dyDescent="0.2"/>
  <cols>
    <col min="1" max="1" width="4" customWidth="1"/>
    <col min="2" max="2" width="10.33203125" customWidth="1"/>
    <col min="3" max="3" width="33.5" customWidth="1"/>
    <col min="4" max="4" width="2.5" customWidth="1"/>
    <col min="5" max="26" width="2.6640625" customWidth="1"/>
    <col min="27" max="27" width="2.83203125" customWidth="1"/>
    <col min="28" max="29" width="2.6640625" customWidth="1"/>
    <col min="30" max="32" width="3" customWidth="1"/>
    <col min="33" max="34" width="2.83203125" customWidth="1"/>
    <col min="35" max="35" width="3.1640625" customWidth="1"/>
    <col min="36" max="37" width="3" customWidth="1"/>
    <col min="38" max="38" width="3.1640625" customWidth="1"/>
    <col min="39" max="40" width="2.83203125" customWidth="1"/>
    <col min="41" max="43" width="3.1640625" customWidth="1"/>
    <col min="44" max="67" width="2.83203125" customWidth="1"/>
    <col min="68" max="72" width="3.33203125" customWidth="1"/>
    <col min="73" max="76" width="4" customWidth="1"/>
    <col min="77" max="77" width="5" customWidth="1"/>
  </cols>
  <sheetData>
    <row r="1" spans="1:77" ht="28" x14ac:dyDescent="0.2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</row>
    <row r="2" spans="1:77" x14ac:dyDescent="0.2">
      <c r="A2" s="45" t="s">
        <v>45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</row>
    <row r="3" spans="1:77" x14ac:dyDescent="0.2">
      <c r="A3" s="45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</row>
    <row r="4" spans="1:77" ht="16" x14ac:dyDescent="0.2">
      <c r="A4" s="47" t="s">
        <v>34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</row>
    <row r="5" spans="1:77" ht="30.75" customHeight="1" thickBot="1" x14ac:dyDescent="0.25">
      <c r="A5" s="43" t="s">
        <v>44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</row>
    <row r="6" spans="1:77" ht="24" customHeight="1" thickBot="1" x14ac:dyDescent="0.35">
      <c r="A6" s="35" t="s">
        <v>52</v>
      </c>
      <c r="B6" s="36"/>
      <c r="C6" s="37"/>
      <c r="D6" s="38" t="s">
        <v>2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41" t="s">
        <v>2</v>
      </c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42"/>
      <c r="AQ6" s="42"/>
      <c r="AR6" s="40"/>
      <c r="AS6" s="41" t="s">
        <v>2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40"/>
      <c r="BP6" s="41" t="s">
        <v>2</v>
      </c>
      <c r="BQ6" s="39"/>
      <c r="BR6" s="39"/>
      <c r="BS6" s="39"/>
      <c r="BT6" s="39"/>
      <c r="BU6" s="79" t="s">
        <v>28</v>
      </c>
      <c r="BV6" s="82" t="s">
        <v>25</v>
      </c>
      <c r="BW6" s="85" t="s">
        <v>26</v>
      </c>
      <c r="BX6" s="88" t="s">
        <v>27</v>
      </c>
      <c r="BY6" s="91" t="s">
        <v>48</v>
      </c>
    </row>
    <row r="7" spans="1:77" ht="19.5" customHeight="1" thickBot="1" x14ac:dyDescent="0.25">
      <c r="A7" s="49"/>
      <c r="B7" s="50"/>
      <c r="C7" s="51"/>
      <c r="D7" s="52" t="s">
        <v>3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4"/>
      <c r="W7" s="58" t="s">
        <v>4</v>
      </c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9"/>
      <c r="AQ7" s="59"/>
      <c r="AR7" s="54"/>
      <c r="AS7" s="62" t="s">
        <v>5</v>
      </c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4"/>
      <c r="BP7" s="68" t="s">
        <v>6</v>
      </c>
      <c r="BQ7" s="63"/>
      <c r="BR7" s="63"/>
      <c r="BS7" s="63"/>
      <c r="BT7" s="63"/>
      <c r="BU7" s="80"/>
      <c r="BV7" s="83"/>
      <c r="BW7" s="86"/>
      <c r="BX7" s="89"/>
      <c r="BY7" s="92"/>
    </row>
    <row r="8" spans="1:77" ht="18" customHeight="1" thickBot="1" x14ac:dyDescent="0.25">
      <c r="A8" s="70" t="s">
        <v>7</v>
      </c>
      <c r="B8" s="3" t="s">
        <v>8</v>
      </c>
      <c r="C8" s="24" t="s">
        <v>9</v>
      </c>
      <c r="D8" s="55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7"/>
      <c r="W8" s="60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61"/>
      <c r="AQ8" s="61"/>
      <c r="AR8" s="57"/>
      <c r="AS8" s="65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7"/>
      <c r="BP8" s="69"/>
      <c r="BQ8" s="66"/>
      <c r="BR8" s="66"/>
      <c r="BS8" s="66"/>
      <c r="BT8" s="66"/>
      <c r="BU8" s="80"/>
      <c r="BV8" s="83"/>
      <c r="BW8" s="86"/>
      <c r="BX8" s="89"/>
      <c r="BY8" s="92"/>
    </row>
    <row r="9" spans="1:77" ht="22.5" customHeight="1" thickBot="1" x14ac:dyDescent="0.25">
      <c r="A9" s="71"/>
      <c r="B9" s="25" t="s">
        <v>10</v>
      </c>
      <c r="C9" s="26"/>
      <c r="D9" s="73" t="s">
        <v>20</v>
      </c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5"/>
      <c r="W9" s="76" t="s">
        <v>17</v>
      </c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7"/>
      <c r="AQ9" s="77"/>
      <c r="AR9" s="75"/>
      <c r="AS9" s="73" t="s">
        <v>12</v>
      </c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5"/>
      <c r="BP9" s="76" t="s">
        <v>21</v>
      </c>
      <c r="BQ9" s="74"/>
      <c r="BR9" s="74"/>
      <c r="BS9" s="74"/>
      <c r="BT9" s="74"/>
      <c r="BU9" s="80"/>
      <c r="BV9" s="83"/>
      <c r="BW9" s="86"/>
      <c r="BX9" s="89"/>
      <c r="BY9" s="92"/>
    </row>
    <row r="10" spans="1:77" ht="18.75" customHeight="1" thickBot="1" x14ac:dyDescent="0.25">
      <c r="A10" s="72"/>
      <c r="B10" s="78" t="s">
        <v>13</v>
      </c>
      <c r="C10" s="37"/>
      <c r="D10" s="6">
        <v>4</v>
      </c>
      <c r="E10" s="7">
        <v>5</v>
      </c>
      <c r="F10" s="7">
        <v>6</v>
      </c>
      <c r="G10" s="7">
        <v>7</v>
      </c>
      <c r="H10" s="7">
        <v>8</v>
      </c>
      <c r="I10" s="7">
        <v>11</v>
      </c>
      <c r="J10" s="7">
        <v>12</v>
      </c>
      <c r="K10" s="7">
        <v>13</v>
      </c>
      <c r="L10" s="7">
        <v>14</v>
      </c>
      <c r="M10" s="7">
        <v>15</v>
      </c>
      <c r="N10" s="7">
        <v>18</v>
      </c>
      <c r="O10" s="7">
        <v>19</v>
      </c>
      <c r="P10" s="7">
        <v>20</v>
      </c>
      <c r="Q10" s="7">
        <v>21</v>
      </c>
      <c r="R10" s="7">
        <v>22</v>
      </c>
      <c r="S10" s="7">
        <v>26</v>
      </c>
      <c r="T10" s="7">
        <v>27</v>
      </c>
      <c r="U10" s="7">
        <v>28</v>
      </c>
      <c r="V10" s="7">
        <v>29</v>
      </c>
      <c r="W10" s="4">
        <v>1</v>
      </c>
      <c r="X10" s="4">
        <v>2</v>
      </c>
      <c r="Y10" s="4">
        <v>3</v>
      </c>
      <c r="Z10" s="4">
        <v>4</v>
      </c>
      <c r="AA10" s="4">
        <v>5</v>
      </c>
      <c r="AB10" s="4">
        <v>8</v>
      </c>
      <c r="AC10" s="4">
        <v>9</v>
      </c>
      <c r="AD10" s="4">
        <v>10</v>
      </c>
      <c r="AE10" s="4">
        <v>11</v>
      </c>
      <c r="AF10" s="4">
        <v>12</v>
      </c>
      <c r="AG10" s="4">
        <v>15</v>
      </c>
      <c r="AH10" s="4">
        <v>16</v>
      </c>
      <c r="AI10" s="4">
        <v>17</v>
      </c>
      <c r="AJ10" s="4">
        <v>18</v>
      </c>
      <c r="AK10" s="4">
        <v>19</v>
      </c>
      <c r="AL10" s="4">
        <v>22</v>
      </c>
      <c r="AM10" s="4">
        <v>23</v>
      </c>
      <c r="AN10" s="4">
        <v>24</v>
      </c>
      <c r="AO10" s="4">
        <v>25</v>
      </c>
      <c r="AP10" s="4">
        <v>26</v>
      </c>
      <c r="AQ10" s="4">
        <v>29</v>
      </c>
      <c r="AR10" s="4">
        <v>30</v>
      </c>
      <c r="AS10" s="4">
        <v>1</v>
      </c>
      <c r="AT10" s="4">
        <v>2</v>
      </c>
      <c r="AU10" s="4">
        <v>3</v>
      </c>
      <c r="AV10" s="4">
        <v>6</v>
      </c>
      <c r="AW10" s="4">
        <v>7</v>
      </c>
      <c r="AX10" s="4">
        <v>8</v>
      </c>
      <c r="AY10" s="4">
        <v>9</v>
      </c>
      <c r="AZ10" s="4">
        <v>10</v>
      </c>
      <c r="BA10" s="4">
        <v>13</v>
      </c>
      <c r="BB10" s="4">
        <v>14</v>
      </c>
      <c r="BC10" s="4">
        <v>15</v>
      </c>
      <c r="BD10" s="4">
        <v>16</v>
      </c>
      <c r="BE10" s="4">
        <v>17</v>
      </c>
      <c r="BF10" s="4">
        <v>20</v>
      </c>
      <c r="BG10" s="4">
        <v>21</v>
      </c>
      <c r="BH10" s="4">
        <v>22</v>
      </c>
      <c r="BI10" s="4">
        <v>23</v>
      </c>
      <c r="BJ10" s="4">
        <v>24</v>
      </c>
      <c r="BK10" s="4">
        <v>27</v>
      </c>
      <c r="BL10" s="4">
        <v>28</v>
      </c>
      <c r="BM10" s="4">
        <v>29</v>
      </c>
      <c r="BN10" s="4">
        <v>30</v>
      </c>
      <c r="BO10" s="4">
        <v>31</v>
      </c>
      <c r="BP10" s="4">
        <v>3</v>
      </c>
      <c r="BQ10" s="4">
        <v>4</v>
      </c>
      <c r="BR10" s="4">
        <v>5</v>
      </c>
      <c r="BS10" s="4">
        <v>6</v>
      </c>
      <c r="BT10" s="4">
        <v>7</v>
      </c>
      <c r="BU10" s="81"/>
      <c r="BV10" s="84"/>
      <c r="BW10" s="87"/>
      <c r="BX10" s="90"/>
      <c r="BY10" s="93"/>
    </row>
    <row r="11" spans="1:77" ht="20.25" customHeight="1" thickBot="1" x14ac:dyDescent="0.25">
      <c r="A11" s="1">
        <v>1</v>
      </c>
      <c r="B11" s="94" t="s">
        <v>30</v>
      </c>
      <c r="C11" s="95"/>
      <c r="D11" s="11" t="s">
        <v>24</v>
      </c>
      <c r="E11" s="12" t="s">
        <v>24</v>
      </c>
      <c r="F11" s="12" t="s">
        <v>24</v>
      </c>
      <c r="G11" s="12" t="s">
        <v>24</v>
      </c>
      <c r="H11" s="12" t="s">
        <v>24</v>
      </c>
      <c r="I11" s="12" t="s">
        <v>24</v>
      </c>
      <c r="J11" s="12" t="s">
        <v>24</v>
      </c>
      <c r="K11" s="12" t="s">
        <v>24</v>
      </c>
      <c r="L11" s="12" t="s">
        <v>24</v>
      </c>
      <c r="M11" s="12" t="s">
        <v>24</v>
      </c>
      <c r="N11" s="12" t="s">
        <v>24</v>
      </c>
      <c r="O11" s="12" t="s">
        <v>24</v>
      </c>
      <c r="P11" s="12" t="s">
        <v>24</v>
      </c>
      <c r="Q11" s="12" t="s">
        <v>24</v>
      </c>
      <c r="R11" s="12" t="s">
        <v>24</v>
      </c>
      <c r="S11" s="12" t="s">
        <v>24</v>
      </c>
      <c r="T11" s="12" t="s">
        <v>24</v>
      </c>
      <c r="U11" s="12" t="s">
        <v>24</v>
      </c>
      <c r="V11" s="13" t="s">
        <v>24</v>
      </c>
      <c r="W11" s="12" t="s">
        <v>24</v>
      </c>
      <c r="X11" s="12" t="s">
        <v>24</v>
      </c>
      <c r="Y11" s="12" t="s">
        <v>24</v>
      </c>
      <c r="Z11" s="12" t="s">
        <v>24</v>
      </c>
      <c r="AA11" s="12" t="s">
        <v>24</v>
      </c>
      <c r="AB11" s="12" t="s">
        <v>24</v>
      </c>
      <c r="AC11" s="12" t="s">
        <v>24</v>
      </c>
      <c r="AD11" s="12" t="s">
        <v>24</v>
      </c>
      <c r="AE11" s="12" t="s">
        <v>24</v>
      </c>
      <c r="AF11" s="12" t="s">
        <v>24</v>
      </c>
      <c r="AG11" s="12" t="s">
        <v>24</v>
      </c>
      <c r="AH11" s="12" t="s">
        <v>24</v>
      </c>
      <c r="AI11" s="12" t="s">
        <v>24</v>
      </c>
      <c r="AJ11" s="12" t="s">
        <v>24</v>
      </c>
      <c r="AK11" s="12" t="s">
        <v>24</v>
      </c>
      <c r="AL11" s="12" t="s">
        <v>24</v>
      </c>
      <c r="AM11" s="12" t="s">
        <v>24</v>
      </c>
      <c r="AN11" s="12" t="s">
        <v>24</v>
      </c>
      <c r="AO11" s="12" t="s">
        <v>24</v>
      </c>
      <c r="AP11" s="12" t="s">
        <v>24</v>
      </c>
      <c r="AQ11" s="12" t="s">
        <v>24</v>
      </c>
      <c r="AR11" s="13" t="s">
        <v>24</v>
      </c>
      <c r="AS11" s="12" t="s">
        <v>24</v>
      </c>
      <c r="AT11" s="12" t="s">
        <v>24</v>
      </c>
      <c r="AU11" s="12" t="s">
        <v>24</v>
      </c>
      <c r="AV11" s="12" t="s">
        <v>24</v>
      </c>
      <c r="AW11" s="12" t="s">
        <v>24</v>
      </c>
      <c r="AX11" s="12" t="s">
        <v>24</v>
      </c>
      <c r="AY11" s="12" t="s">
        <v>24</v>
      </c>
      <c r="AZ11" s="12" t="s">
        <v>24</v>
      </c>
      <c r="BA11" s="12" t="s">
        <v>24</v>
      </c>
      <c r="BB11" s="12" t="s">
        <v>24</v>
      </c>
      <c r="BC11" s="12" t="s">
        <v>24</v>
      </c>
      <c r="BD11" s="12" t="s">
        <v>24</v>
      </c>
      <c r="BE11" s="12" t="s">
        <v>24</v>
      </c>
      <c r="BF11" s="12" t="s">
        <v>24</v>
      </c>
      <c r="BG11" s="12" t="s">
        <v>24</v>
      </c>
      <c r="BH11" s="12" t="s">
        <v>24</v>
      </c>
      <c r="BI11" s="12" t="s">
        <v>24</v>
      </c>
      <c r="BJ11" s="12" t="s">
        <v>24</v>
      </c>
      <c r="BK11" s="12" t="s">
        <v>24</v>
      </c>
      <c r="BL11" s="12" t="s">
        <v>24</v>
      </c>
      <c r="BM11" s="12" t="s">
        <v>24</v>
      </c>
      <c r="BN11" s="12" t="s">
        <v>24</v>
      </c>
      <c r="BO11" s="13" t="s">
        <v>24</v>
      </c>
      <c r="BP11" s="12" t="s">
        <v>24</v>
      </c>
      <c r="BQ11" s="12" t="s">
        <v>24</v>
      </c>
      <c r="BR11" s="12" t="s">
        <v>24</v>
      </c>
      <c r="BS11" s="12" t="s">
        <v>24</v>
      </c>
      <c r="BT11" s="12" t="s">
        <v>24</v>
      </c>
      <c r="BU11" s="17">
        <f>COUNTIF(D11:BT11,"AT")</f>
        <v>0</v>
      </c>
      <c r="BV11" s="17" cm="1">
        <f t="array" ref="BV11">SUM(COUNTIF(D11:BT11,{"A";"AT"}))</f>
        <v>69</v>
      </c>
      <c r="BW11" s="17">
        <f>COUNTIF(D11:BT11,"J")</f>
        <v>0</v>
      </c>
      <c r="BX11" s="17">
        <f>COUNTIF(D11:BT11,"F")</f>
        <v>0</v>
      </c>
      <c r="BY11" s="18">
        <f>SUM(BV11:BX11)</f>
        <v>69</v>
      </c>
    </row>
    <row r="12" spans="1:77" ht="20.25" customHeight="1" thickBot="1" x14ac:dyDescent="0.25">
      <c r="A12" s="1">
        <v>2</v>
      </c>
      <c r="B12" s="94"/>
      <c r="C12" s="95"/>
      <c r="D12" s="11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  <c r="J12" s="12" t="s">
        <v>24</v>
      </c>
      <c r="K12" s="12" t="s">
        <v>24</v>
      </c>
      <c r="L12" s="12" t="s">
        <v>24</v>
      </c>
      <c r="M12" s="12" t="s">
        <v>24</v>
      </c>
      <c r="N12" s="12" t="s">
        <v>24</v>
      </c>
      <c r="O12" s="12" t="s">
        <v>24</v>
      </c>
      <c r="P12" s="12" t="s">
        <v>24</v>
      </c>
      <c r="Q12" s="12" t="s">
        <v>24</v>
      </c>
      <c r="R12" s="12" t="s">
        <v>24</v>
      </c>
      <c r="S12" s="12" t="s">
        <v>24</v>
      </c>
      <c r="T12" s="12" t="s">
        <v>24</v>
      </c>
      <c r="U12" s="12" t="s">
        <v>24</v>
      </c>
      <c r="V12" s="13" t="s">
        <v>24</v>
      </c>
      <c r="W12" s="12" t="s">
        <v>24</v>
      </c>
      <c r="X12" s="12" t="s">
        <v>24</v>
      </c>
      <c r="Y12" s="12" t="s">
        <v>24</v>
      </c>
      <c r="Z12" s="12" t="s">
        <v>24</v>
      </c>
      <c r="AA12" s="12" t="s">
        <v>24</v>
      </c>
      <c r="AB12" s="12" t="s">
        <v>24</v>
      </c>
      <c r="AC12" s="12" t="s">
        <v>24</v>
      </c>
      <c r="AD12" s="12" t="s">
        <v>24</v>
      </c>
      <c r="AE12" s="12" t="s">
        <v>24</v>
      </c>
      <c r="AF12" s="12" t="s">
        <v>24</v>
      </c>
      <c r="AG12" s="12" t="s">
        <v>24</v>
      </c>
      <c r="AH12" s="12" t="s">
        <v>24</v>
      </c>
      <c r="AI12" s="12" t="s">
        <v>24</v>
      </c>
      <c r="AJ12" s="12" t="s">
        <v>24</v>
      </c>
      <c r="AK12" s="12" t="s">
        <v>24</v>
      </c>
      <c r="AL12" s="12" t="s">
        <v>24</v>
      </c>
      <c r="AM12" s="12" t="s">
        <v>24</v>
      </c>
      <c r="AN12" s="12" t="s">
        <v>24</v>
      </c>
      <c r="AO12" s="12" t="s">
        <v>24</v>
      </c>
      <c r="AP12" s="12" t="s">
        <v>24</v>
      </c>
      <c r="AQ12" s="12" t="s">
        <v>24</v>
      </c>
      <c r="AR12" s="13" t="s">
        <v>24</v>
      </c>
      <c r="AS12" s="12" t="s">
        <v>24</v>
      </c>
      <c r="AT12" s="12" t="s">
        <v>24</v>
      </c>
      <c r="AU12" s="12" t="s">
        <v>24</v>
      </c>
      <c r="AV12" s="12" t="s">
        <v>24</v>
      </c>
      <c r="AW12" s="12" t="s">
        <v>24</v>
      </c>
      <c r="AX12" s="12" t="s">
        <v>24</v>
      </c>
      <c r="AY12" s="12" t="s">
        <v>24</v>
      </c>
      <c r="AZ12" s="12" t="s">
        <v>24</v>
      </c>
      <c r="BA12" s="12" t="s">
        <v>24</v>
      </c>
      <c r="BB12" s="12" t="s">
        <v>24</v>
      </c>
      <c r="BC12" s="12" t="s">
        <v>24</v>
      </c>
      <c r="BD12" s="12" t="s">
        <v>24</v>
      </c>
      <c r="BE12" s="12" t="s">
        <v>24</v>
      </c>
      <c r="BF12" s="12" t="s">
        <v>24</v>
      </c>
      <c r="BG12" s="12" t="s">
        <v>24</v>
      </c>
      <c r="BH12" s="12" t="s">
        <v>24</v>
      </c>
      <c r="BI12" s="12" t="s">
        <v>24</v>
      </c>
      <c r="BJ12" s="12" t="s">
        <v>24</v>
      </c>
      <c r="BK12" s="12" t="s">
        <v>24</v>
      </c>
      <c r="BL12" s="12" t="s">
        <v>24</v>
      </c>
      <c r="BM12" s="12" t="s">
        <v>24</v>
      </c>
      <c r="BN12" s="12" t="s">
        <v>24</v>
      </c>
      <c r="BO12" s="13" t="s">
        <v>24</v>
      </c>
      <c r="BP12" s="12" t="s">
        <v>24</v>
      </c>
      <c r="BQ12" s="12" t="s">
        <v>24</v>
      </c>
      <c r="BR12" s="12" t="s">
        <v>24</v>
      </c>
      <c r="BS12" s="12" t="s">
        <v>24</v>
      </c>
      <c r="BT12" s="12" t="s">
        <v>24</v>
      </c>
      <c r="BU12" s="17">
        <f t="shared" ref="BU12:BU40" si="0">COUNTIF(D12:BT12,"AT")</f>
        <v>0</v>
      </c>
      <c r="BV12" s="17" cm="1">
        <f t="array" ref="BV12">SUM(COUNTIF(D12:BT12,{"A";"AT"}))</f>
        <v>69</v>
      </c>
      <c r="BW12" s="17">
        <f t="shared" ref="BW12:BW40" si="1">COUNTIF(D12:BT12,"J")</f>
        <v>0</v>
      </c>
      <c r="BX12" s="17">
        <f t="shared" ref="BX12:BX40" si="2">COUNTIF(D12:BT12,"F")</f>
        <v>0</v>
      </c>
      <c r="BY12" s="18">
        <f t="shared" ref="BY12:BY40" si="3">SUM(BV12:BX12)</f>
        <v>69</v>
      </c>
    </row>
    <row r="13" spans="1:77" ht="20.25" customHeight="1" thickBot="1" x14ac:dyDescent="0.25">
      <c r="A13" s="1">
        <v>3</v>
      </c>
      <c r="B13" s="94"/>
      <c r="C13" s="95"/>
      <c r="D13" s="11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  <c r="J13" s="12" t="s">
        <v>24</v>
      </c>
      <c r="K13" s="12" t="s">
        <v>24</v>
      </c>
      <c r="L13" s="12" t="s">
        <v>24</v>
      </c>
      <c r="M13" s="12" t="s">
        <v>24</v>
      </c>
      <c r="N13" s="12" t="s">
        <v>24</v>
      </c>
      <c r="O13" s="12" t="s">
        <v>24</v>
      </c>
      <c r="P13" s="12" t="s">
        <v>24</v>
      </c>
      <c r="Q13" s="12" t="s">
        <v>24</v>
      </c>
      <c r="R13" s="12" t="s">
        <v>24</v>
      </c>
      <c r="S13" s="12" t="s">
        <v>24</v>
      </c>
      <c r="T13" s="12" t="s">
        <v>24</v>
      </c>
      <c r="U13" s="12" t="s">
        <v>24</v>
      </c>
      <c r="V13" s="13" t="s">
        <v>24</v>
      </c>
      <c r="W13" s="12" t="s">
        <v>24</v>
      </c>
      <c r="X13" s="12" t="s">
        <v>24</v>
      </c>
      <c r="Y13" s="12" t="s">
        <v>24</v>
      </c>
      <c r="Z13" s="12" t="s">
        <v>24</v>
      </c>
      <c r="AA13" s="12" t="s">
        <v>24</v>
      </c>
      <c r="AB13" s="12" t="s">
        <v>24</v>
      </c>
      <c r="AC13" s="12" t="s">
        <v>24</v>
      </c>
      <c r="AD13" s="12" t="s">
        <v>24</v>
      </c>
      <c r="AE13" s="12" t="s">
        <v>24</v>
      </c>
      <c r="AF13" s="12" t="s">
        <v>24</v>
      </c>
      <c r="AG13" s="12" t="s">
        <v>24</v>
      </c>
      <c r="AH13" s="12" t="s">
        <v>24</v>
      </c>
      <c r="AI13" s="12" t="s">
        <v>24</v>
      </c>
      <c r="AJ13" s="12" t="s">
        <v>24</v>
      </c>
      <c r="AK13" s="12" t="s">
        <v>24</v>
      </c>
      <c r="AL13" s="12" t="s">
        <v>24</v>
      </c>
      <c r="AM13" s="12" t="s">
        <v>24</v>
      </c>
      <c r="AN13" s="12" t="s">
        <v>24</v>
      </c>
      <c r="AO13" s="12" t="s">
        <v>24</v>
      </c>
      <c r="AP13" s="12" t="s">
        <v>24</v>
      </c>
      <c r="AQ13" s="12" t="s">
        <v>24</v>
      </c>
      <c r="AR13" s="13" t="s">
        <v>24</v>
      </c>
      <c r="AS13" s="12" t="s">
        <v>24</v>
      </c>
      <c r="AT13" s="12" t="s">
        <v>24</v>
      </c>
      <c r="AU13" s="12" t="s">
        <v>24</v>
      </c>
      <c r="AV13" s="12" t="s">
        <v>24</v>
      </c>
      <c r="AW13" s="12" t="s">
        <v>24</v>
      </c>
      <c r="AX13" s="12" t="s">
        <v>24</v>
      </c>
      <c r="AY13" s="12" t="s">
        <v>24</v>
      </c>
      <c r="AZ13" s="12" t="s">
        <v>24</v>
      </c>
      <c r="BA13" s="12" t="s">
        <v>24</v>
      </c>
      <c r="BB13" s="12" t="s">
        <v>24</v>
      </c>
      <c r="BC13" s="12" t="s">
        <v>24</v>
      </c>
      <c r="BD13" s="12" t="s">
        <v>24</v>
      </c>
      <c r="BE13" s="12" t="s">
        <v>24</v>
      </c>
      <c r="BF13" s="12" t="s">
        <v>24</v>
      </c>
      <c r="BG13" s="12" t="s">
        <v>24</v>
      </c>
      <c r="BH13" s="12" t="s">
        <v>24</v>
      </c>
      <c r="BI13" s="12" t="s">
        <v>24</v>
      </c>
      <c r="BJ13" s="12" t="s">
        <v>24</v>
      </c>
      <c r="BK13" s="12" t="s">
        <v>24</v>
      </c>
      <c r="BL13" s="12" t="s">
        <v>24</v>
      </c>
      <c r="BM13" s="12" t="s">
        <v>24</v>
      </c>
      <c r="BN13" s="12" t="s">
        <v>24</v>
      </c>
      <c r="BO13" s="13" t="s">
        <v>24</v>
      </c>
      <c r="BP13" s="12" t="s">
        <v>24</v>
      </c>
      <c r="BQ13" s="12" t="s">
        <v>24</v>
      </c>
      <c r="BR13" s="12" t="s">
        <v>24</v>
      </c>
      <c r="BS13" s="12" t="s">
        <v>24</v>
      </c>
      <c r="BT13" s="12" t="s">
        <v>24</v>
      </c>
      <c r="BU13" s="17">
        <f t="shared" si="0"/>
        <v>0</v>
      </c>
      <c r="BV13" s="17" cm="1">
        <f t="array" ref="BV13">SUM(COUNTIF(D13:BT13,{"A";"AT"}))</f>
        <v>69</v>
      </c>
      <c r="BW13" s="17">
        <f t="shared" si="1"/>
        <v>0</v>
      </c>
      <c r="BX13" s="17">
        <f t="shared" si="2"/>
        <v>0</v>
      </c>
      <c r="BY13" s="18">
        <f t="shared" si="3"/>
        <v>69</v>
      </c>
    </row>
    <row r="14" spans="1:77" ht="20.25" customHeight="1" thickBot="1" x14ac:dyDescent="0.25">
      <c r="A14" s="1">
        <v>4</v>
      </c>
      <c r="B14" s="94"/>
      <c r="C14" s="95"/>
      <c r="D14" s="11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  <c r="J14" s="12" t="s">
        <v>24</v>
      </c>
      <c r="K14" s="12" t="s">
        <v>24</v>
      </c>
      <c r="L14" s="12" t="s">
        <v>24</v>
      </c>
      <c r="M14" s="12" t="s">
        <v>24</v>
      </c>
      <c r="N14" s="12" t="s">
        <v>24</v>
      </c>
      <c r="O14" s="12" t="s">
        <v>24</v>
      </c>
      <c r="P14" s="12" t="s">
        <v>24</v>
      </c>
      <c r="Q14" s="12" t="s">
        <v>24</v>
      </c>
      <c r="R14" s="12" t="s">
        <v>24</v>
      </c>
      <c r="S14" s="12" t="s">
        <v>24</v>
      </c>
      <c r="T14" s="12" t="s">
        <v>24</v>
      </c>
      <c r="U14" s="12" t="s">
        <v>24</v>
      </c>
      <c r="V14" s="13" t="s">
        <v>24</v>
      </c>
      <c r="W14" s="12" t="s">
        <v>24</v>
      </c>
      <c r="X14" s="12" t="s">
        <v>24</v>
      </c>
      <c r="Y14" s="12" t="s">
        <v>24</v>
      </c>
      <c r="Z14" s="12" t="s">
        <v>24</v>
      </c>
      <c r="AA14" s="12" t="s">
        <v>24</v>
      </c>
      <c r="AB14" s="12" t="s">
        <v>24</v>
      </c>
      <c r="AC14" s="12" t="s">
        <v>24</v>
      </c>
      <c r="AD14" s="12" t="s">
        <v>24</v>
      </c>
      <c r="AE14" s="12" t="s">
        <v>24</v>
      </c>
      <c r="AF14" s="12" t="s">
        <v>24</v>
      </c>
      <c r="AG14" s="12" t="s">
        <v>24</v>
      </c>
      <c r="AH14" s="12" t="s">
        <v>24</v>
      </c>
      <c r="AI14" s="12" t="s">
        <v>24</v>
      </c>
      <c r="AJ14" s="12" t="s">
        <v>24</v>
      </c>
      <c r="AK14" s="12" t="s">
        <v>24</v>
      </c>
      <c r="AL14" s="12" t="s">
        <v>24</v>
      </c>
      <c r="AM14" s="12" t="s">
        <v>24</v>
      </c>
      <c r="AN14" s="12" t="s">
        <v>24</v>
      </c>
      <c r="AO14" s="12" t="s">
        <v>24</v>
      </c>
      <c r="AP14" s="12" t="s">
        <v>24</v>
      </c>
      <c r="AQ14" s="12" t="s">
        <v>24</v>
      </c>
      <c r="AR14" s="13" t="s">
        <v>24</v>
      </c>
      <c r="AS14" s="12" t="s">
        <v>24</v>
      </c>
      <c r="AT14" s="12" t="s">
        <v>24</v>
      </c>
      <c r="AU14" s="12" t="s">
        <v>24</v>
      </c>
      <c r="AV14" s="12" t="s">
        <v>24</v>
      </c>
      <c r="AW14" s="12" t="s">
        <v>24</v>
      </c>
      <c r="AX14" s="12" t="s">
        <v>24</v>
      </c>
      <c r="AY14" s="12" t="s">
        <v>24</v>
      </c>
      <c r="AZ14" s="12" t="s">
        <v>24</v>
      </c>
      <c r="BA14" s="12" t="s">
        <v>24</v>
      </c>
      <c r="BB14" s="12" t="s">
        <v>24</v>
      </c>
      <c r="BC14" s="12" t="s">
        <v>24</v>
      </c>
      <c r="BD14" s="12" t="s">
        <v>24</v>
      </c>
      <c r="BE14" s="12" t="s">
        <v>24</v>
      </c>
      <c r="BF14" s="12" t="s">
        <v>24</v>
      </c>
      <c r="BG14" s="12" t="s">
        <v>24</v>
      </c>
      <c r="BH14" s="12" t="s">
        <v>24</v>
      </c>
      <c r="BI14" s="12" t="s">
        <v>24</v>
      </c>
      <c r="BJ14" s="12" t="s">
        <v>24</v>
      </c>
      <c r="BK14" s="12" t="s">
        <v>24</v>
      </c>
      <c r="BL14" s="12" t="s">
        <v>24</v>
      </c>
      <c r="BM14" s="12" t="s">
        <v>24</v>
      </c>
      <c r="BN14" s="12" t="s">
        <v>24</v>
      </c>
      <c r="BO14" s="13" t="s">
        <v>24</v>
      </c>
      <c r="BP14" s="12" t="s">
        <v>24</v>
      </c>
      <c r="BQ14" s="12" t="s">
        <v>24</v>
      </c>
      <c r="BR14" s="12" t="s">
        <v>24</v>
      </c>
      <c r="BS14" s="12" t="s">
        <v>24</v>
      </c>
      <c r="BT14" s="12" t="s">
        <v>24</v>
      </c>
      <c r="BU14" s="17">
        <f t="shared" si="0"/>
        <v>0</v>
      </c>
      <c r="BV14" s="17" cm="1">
        <f t="array" ref="BV14">SUM(COUNTIF(D14:BT14,{"A";"AT"}))</f>
        <v>69</v>
      </c>
      <c r="BW14" s="17">
        <f t="shared" si="1"/>
        <v>0</v>
      </c>
      <c r="BX14" s="17">
        <f t="shared" si="2"/>
        <v>0</v>
      </c>
      <c r="BY14" s="18">
        <f t="shared" si="3"/>
        <v>69</v>
      </c>
    </row>
    <row r="15" spans="1:77" ht="20.25" customHeight="1" thickBot="1" x14ac:dyDescent="0.25">
      <c r="A15" s="1">
        <v>5</v>
      </c>
      <c r="B15" s="94"/>
      <c r="C15" s="95"/>
      <c r="D15" s="11" t="s">
        <v>24</v>
      </c>
      <c r="E15" s="12" t="s">
        <v>24</v>
      </c>
      <c r="F15" s="12" t="s">
        <v>24</v>
      </c>
      <c r="G15" s="12" t="s">
        <v>24</v>
      </c>
      <c r="H15" s="12" t="s">
        <v>24</v>
      </c>
      <c r="I15" s="12" t="s">
        <v>24</v>
      </c>
      <c r="J15" s="12" t="s">
        <v>24</v>
      </c>
      <c r="K15" s="12" t="s">
        <v>24</v>
      </c>
      <c r="L15" s="12" t="s">
        <v>24</v>
      </c>
      <c r="M15" s="12" t="s">
        <v>24</v>
      </c>
      <c r="N15" s="12" t="s">
        <v>24</v>
      </c>
      <c r="O15" s="12" t="s">
        <v>24</v>
      </c>
      <c r="P15" s="12" t="s">
        <v>24</v>
      </c>
      <c r="Q15" s="12" t="s">
        <v>24</v>
      </c>
      <c r="R15" s="12" t="s">
        <v>24</v>
      </c>
      <c r="S15" s="12" t="s">
        <v>24</v>
      </c>
      <c r="T15" s="12" t="s">
        <v>24</v>
      </c>
      <c r="U15" s="12" t="s">
        <v>24</v>
      </c>
      <c r="V15" s="13" t="s">
        <v>24</v>
      </c>
      <c r="W15" s="12" t="s">
        <v>24</v>
      </c>
      <c r="X15" s="12" t="s">
        <v>24</v>
      </c>
      <c r="Y15" s="12" t="s">
        <v>24</v>
      </c>
      <c r="Z15" s="12" t="s">
        <v>24</v>
      </c>
      <c r="AA15" s="12" t="s">
        <v>24</v>
      </c>
      <c r="AB15" s="12" t="s">
        <v>24</v>
      </c>
      <c r="AC15" s="12" t="s">
        <v>24</v>
      </c>
      <c r="AD15" s="12" t="s">
        <v>24</v>
      </c>
      <c r="AE15" s="12" t="s">
        <v>24</v>
      </c>
      <c r="AF15" s="12" t="s">
        <v>24</v>
      </c>
      <c r="AG15" s="12" t="s">
        <v>24</v>
      </c>
      <c r="AH15" s="12" t="s">
        <v>24</v>
      </c>
      <c r="AI15" s="12" t="s">
        <v>24</v>
      </c>
      <c r="AJ15" s="12" t="s">
        <v>24</v>
      </c>
      <c r="AK15" s="12" t="s">
        <v>24</v>
      </c>
      <c r="AL15" s="12" t="s">
        <v>24</v>
      </c>
      <c r="AM15" s="12" t="s">
        <v>24</v>
      </c>
      <c r="AN15" s="12" t="s">
        <v>24</v>
      </c>
      <c r="AO15" s="12" t="s">
        <v>24</v>
      </c>
      <c r="AP15" s="12" t="s">
        <v>24</v>
      </c>
      <c r="AQ15" s="12" t="s">
        <v>24</v>
      </c>
      <c r="AR15" s="13" t="s">
        <v>24</v>
      </c>
      <c r="AS15" s="12" t="s">
        <v>24</v>
      </c>
      <c r="AT15" s="12" t="s">
        <v>24</v>
      </c>
      <c r="AU15" s="12" t="s">
        <v>24</v>
      </c>
      <c r="AV15" s="12" t="s">
        <v>24</v>
      </c>
      <c r="AW15" s="12" t="s">
        <v>24</v>
      </c>
      <c r="AX15" s="12" t="s">
        <v>24</v>
      </c>
      <c r="AY15" s="12" t="s">
        <v>24</v>
      </c>
      <c r="AZ15" s="12" t="s">
        <v>24</v>
      </c>
      <c r="BA15" s="12" t="s">
        <v>24</v>
      </c>
      <c r="BB15" s="12" t="s">
        <v>24</v>
      </c>
      <c r="BC15" s="12" t="s">
        <v>24</v>
      </c>
      <c r="BD15" s="12" t="s">
        <v>24</v>
      </c>
      <c r="BE15" s="12" t="s">
        <v>24</v>
      </c>
      <c r="BF15" s="12" t="s">
        <v>24</v>
      </c>
      <c r="BG15" s="12" t="s">
        <v>24</v>
      </c>
      <c r="BH15" s="12" t="s">
        <v>24</v>
      </c>
      <c r="BI15" s="12" t="s">
        <v>24</v>
      </c>
      <c r="BJ15" s="12" t="s">
        <v>24</v>
      </c>
      <c r="BK15" s="12" t="s">
        <v>24</v>
      </c>
      <c r="BL15" s="12" t="s">
        <v>24</v>
      </c>
      <c r="BM15" s="12" t="s">
        <v>24</v>
      </c>
      <c r="BN15" s="12" t="s">
        <v>24</v>
      </c>
      <c r="BO15" s="13" t="s">
        <v>24</v>
      </c>
      <c r="BP15" s="12" t="s">
        <v>24</v>
      </c>
      <c r="BQ15" s="12" t="s">
        <v>24</v>
      </c>
      <c r="BR15" s="12" t="s">
        <v>24</v>
      </c>
      <c r="BS15" s="12" t="s">
        <v>24</v>
      </c>
      <c r="BT15" s="12" t="s">
        <v>24</v>
      </c>
      <c r="BU15" s="17">
        <f t="shared" si="0"/>
        <v>0</v>
      </c>
      <c r="BV15" s="17" cm="1">
        <f t="array" ref="BV15">SUM(COUNTIF(D15:BT15,{"A";"AT"}))</f>
        <v>69</v>
      </c>
      <c r="BW15" s="17">
        <f t="shared" si="1"/>
        <v>0</v>
      </c>
      <c r="BX15" s="17">
        <f t="shared" si="2"/>
        <v>0</v>
      </c>
      <c r="BY15" s="18">
        <f t="shared" si="3"/>
        <v>69</v>
      </c>
    </row>
    <row r="16" spans="1:77" ht="20.25" customHeight="1" thickBot="1" x14ac:dyDescent="0.25">
      <c r="A16" s="1">
        <v>6</v>
      </c>
      <c r="B16" s="94"/>
      <c r="C16" s="95"/>
      <c r="D16" s="11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  <c r="J16" s="12" t="s">
        <v>24</v>
      </c>
      <c r="K16" s="12" t="s">
        <v>24</v>
      </c>
      <c r="L16" s="12" t="s">
        <v>24</v>
      </c>
      <c r="M16" s="12" t="s">
        <v>24</v>
      </c>
      <c r="N16" s="12" t="s">
        <v>24</v>
      </c>
      <c r="O16" s="12" t="s">
        <v>24</v>
      </c>
      <c r="P16" s="12" t="s">
        <v>24</v>
      </c>
      <c r="Q16" s="12" t="s">
        <v>24</v>
      </c>
      <c r="R16" s="12" t="s">
        <v>24</v>
      </c>
      <c r="S16" s="12" t="s">
        <v>24</v>
      </c>
      <c r="T16" s="12" t="s">
        <v>24</v>
      </c>
      <c r="U16" s="12" t="s">
        <v>24</v>
      </c>
      <c r="V16" s="13" t="s">
        <v>24</v>
      </c>
      <c r="W16" s="12" t="s">
        <v>24</v>
      </c>
      <c r="X16" s="12" t="s">
        <v>24</v>
      </c>
      <c r="Y16" s="12" t="s">
        <v>24</v>
      </c>
      <c r="Z16" s="12" t="s">
        <v>24</v>
      </c>
      <c r="AA16" s="12" t="s">
        <v>24</v>
      </c>
      <c r="AB16" s="12" t="s">
        <v>24</v>
      </c>
      <c r="AC16" s="12" t="s">
        <v>24</v>
      </c>
      <c r="AD16" s="12" t="s">
        <v>24</v>
      </c>
      <c r="AE16" s="12" t="s">
        <v>24</v>
      </c>
      <c r="AF16" s="12" t="s">
        <v>24</v>
      </c>
      <c r="AG16" s="12" t="s">
        <v>24</v>
      </c>
      <c r="AH16" s="12" t="s">
        <v>24</v>
      </c>
      <c r="AI16" s="12" t="s">
        <v>24</v>
      </c>
      <c r="AJ16" s="12" t="s">
        <v>24</v>
      </c>
      <c r="AK16" s="12" t="s">
        <v>24</v>
      </c>
      <c r="AL16" s="12" t="s">
        <v>24</v>
      </c>
      <c r="AM16" s="12" t="s">
        <v>24</v>
      </c>
      <c r="AN16" s="12" t="s">
        <v>24</v>
      </c>
      <c r="AO16" s="12" t="s">
        <v>24</v>
      </c>
      <c r="AP16" s="12" t="s">
        <v>24</v>
      </c>
      <c r="AQ16" s="12" t="s">
        <v>24</v>
      </c>
      <c r="AR16" s="13" t="s">
        <v>24</v>
      </c>
      <c r="AS16" s="12" t="s">
        <v>24</v>
      </c>
      <c r="AT16" s="12" t="s">
        <v>24</v>
      </c>
      <c r="AU16" s="12" t="s">
        <v>24</v>
      </c>
      <c r="AV16" s="12" t="s">
        <v>24</v>
      </c>
      <c r="AW16" s="12" t="s">
        <v>24</v>
      </c>
      <c r="AX16" s="12" t="s">
        <v>24</v>
      </c>
      <c r="AY16" s="12" t="s">
        <v>24</v>
      </c>
      <c r="AZ16" s="12" t="s">
        <v>24</v>
      </c>
      <c r="BA16" s="12" t="s">
        <v>24</v>
      </c>
      <c r="BB16" s="12" t="s">
        <v>24</v>
      </c>
      <c r="BC16" s="12" t="s">
        <v>24</v>
      </c>
      <c r="BD16" s="12" t="s">
        <v>24</v>
      </c>
      <c r="BE16" s="12" t="s">
        <v>24</v>
      </c>
      <c r="BF16" s="12" t="s">
        <v>24</v>
      </c>
      <c r="BG16" s="12" t="s">
        <v>24</v>
      </c>
      <c r="BH16" s="12" t="s">
        <v>24</v>
      </c>
      <c r="BI16" s="12" t="s">
        <v>24</v>
      </c>
      <c r="BJ16" s="12" t="s">
        <v>24</v>
      </c>
      <c r="BK16" s="12" t="s">
        <v>24</v>
      </c>
      <c r="BL16" s="12" t="s">
        <v>24</v>
      </c>
      <c r="BM16" s="12" t="s">
        <v>24</v>
      </c>
      <c r="BN16" s="12" t="s">
        <v>24</v>
      </c>
      <c r="BO16" s="13" t="s">
        <v>24</v>
      </c>
      <c r="BP16" s="12" t="s">
        <v>24</v>
      </c>
      <c r="BQ16" s="12" t="s">
        <v>24</v>
      </c>
      <c r="BR16" s="12" t="s">
        <v>24</v>
      </c>
      <c r="BS16" s="12" t="s">
        <v>24</v>
      </c>
      <c r="BT16" s="12" t="s">
        <v>24</v>
      </c>
      <c r="BU16" s="17">
        <f t="shared" si="0"/>
        <v>0</v>
      </c>
      <c r="BV16" s="17" cm="1">
        <f t="array" ref="BV16">SUM(COUNTIF(D16:BT16,{"A";"AT"}))</f>
        <v>69</v>
      </c>
      <c r="BW16" s="17">
        <f t="shared" si="1"/>
        <v>0</v>
      </c>
      <c r="BX16" s="17">
        <f t="shared" si="2"/>
        <v>0</v>
      </c>
      <c r="BY16" s="18">
        <f t="shared" si="3"/>
        <v>69</v>
      </c>
    </row>
    <row r="17" spans="1:77" ht="20.25" customHeight="1" thickBot="1" x14ac:dyDescent="0.25">
      <c r="A17" s="1">
        <v>7</v>
      </c>
      <c r="B17" s="94"/>
      <c r="C17" s="95"/>
      <c r="D17" s="11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  <c r="J17" s="12" t="s">
        <v>24</v>
      </c>
      <c r="K17" s="12" t="s">
        <v>24</v>
      </c>
      <c r="L17" s="12" t="s">
        <v>24</v>
      </c>
      <c r="M17" s="12" t="s">
        <v>24</v>
      </c>
      <c r="N17" s="12" t="s">
        <v>24</v>
      </c>
      <c r="O17" s="12" t="s">
        <v>24</v>
      </c>
      <c r="P17" s="12" t="s">
        <v>24</v>
      </c>
      <c r="Q17" s="12" t="s">
        <v>24</v>
      </c>
      <c r="R17" s="12" t="s">
        <v>24</v>
      </c>
      <c r="S17" s="12" t="s">
        <v>24</v>
      </c>
      <c r="T17" s="12" t="s">
        <v>24</v>
      </c>
      <c r="U17" s="12" t="s">
        <v>24</v>
      </c>
      <c r="V17" s="13" t="s">
        <v>24</v>
      </c>
      <c r="W17" s="12" t="s">
        <v>24</v>
      </c>
      <c r="X17" s="12" t="s">
        <v>24</v>
      </c>
      <c r="Y17" s="12" t="s">
        <v>24</v>
      </c>
      <c r="Z17" s="12" t="s">
        <v>24</v>
      </c>
      <c r="AA17" s="12" t="s">
        <v>24</v>
      </c>
      <c r="AB17" s="12" t="s">
        <v>24</v>
      </c>
      <c r="AC17" s="12" t="s">
        <v>24</v>
      </c>
      <c r="AD17" s="12" t="s">
        <v>24</v>
      </c>
      <c r="AE17" s="12" t="s">
        <v>24</v>
      </c>
      <c r="AF17" s="12" t="s">
        <v>24</v>
      </c>
      <c r="AG17" s="12" t="s">
        <v>24</v>
      </c>
      <c r="AH17" s="12" t="s">
        <v>24</v>
      </c>
      <c r="AI17" s="12" t="s">
        <v>24</v>
      </c>
      <c r="AJ17" s="12" t="s">
        <v>24</v>
      </c>
      <c r="AK17" s="12" t="s">
        <v>24</v>
      </c>
      <c r="AL17" s="12" t="s">
        <v>24</v>
      </c>
      <c r="AM17" s="12" t="s">
        <v>24</v>
      </c>
      <c r="AN17" s="12" t="s">
        <v>24</v>
      </c>
      <c r="AO17" s="12" t="s">
        <v>24</v>
      </c>
      <c r="AP17" s="12" t="s">
        <v>24</v>
      </c>
      <c r="AQ17" s="12" t="s">
        <v>24</v>
      </c>
      <c r="AR17" s="13" t="s">
        <v>24</v>
      </c>
      <c r="AS17" s="12" t="s">
        <v>24</v>
      </c>
      <c r="AT17" s="12" t="s">
        <v>24</v>
      </c>
      <c r="AU17" s="12" t="s">
        <v>24</v>
      </c>
      <c r="AV17" s="12" t="s">
        <v>24</v>
      </c>
      <c r="AW17" s="12" t="s">
        <v>24</v>
      </c>
      <c r="AX17" s="12" t="s">
        <v>24</v>
      </c>
      <c r="AY17" s="12" t="s">
        <v>24</v>
      </c>
      <c r="AZ17" s="12" t="s">
        <v>24</v>
      </c>
      <c r="BA17" s="12" t="s">
        <v>24</v>
      </c>
      <c r="BB17" s="12" t="s">
        <v>24</v>
      </c>
      <c r="BC17" s="12" t="s">
        <v>24</v>
      </c>
      <c r="BD17" s="12" t="s">
        <v>24</v>
      </c>
      <c r="BE17" s="12" t="s">
        <v>24</v>
      </c>
      <c r="BF17" s="12" t="s">
        <v>24</v>
      </c>
      <c r="BG17" s="12" t="s">
        <v>24</v>
      </c>
      <c r="BH17" s="12" t="s">
        <v>24</v>
      </c>
      <c r="BI17" s="12" t="s">
        <v>24</v>
      </c>
      <c r="BJ17" s="12" t="s">
        <v>24</v>
      </c>
      <c r="BK17" s="12" t="s">
        <v>24</v>
      </c>
      <c r="BL17" s="12" t="s">
        <v>24</v>
      </c>
      <c r="BM17" s="12" t="s">
        <v>24</v>
      </c>
      <c r="BN17" s="12" t="s">
        <v>24</v>
      </c>
      <c r="BO17" s="13" t="s">
        <v>24</v>
      </c>
      <c r="BP17" s="12" t="s">
        <v>24</v>
      </c>
      <c r="BQ17" s="12" t="s">
        <v>24</v>
      </c>
      <c r="BR17" s="12" t="s">
        <v>24</v>
      </c>
      <c r="BS17" s="12" t="s">
        <v>24</v>
      </c>
      <c r="BT17" s="12" t="s">
        <v>24</v>
      </c>
      <c r="BU17" s="17">
        <f t="shared" si="0"/>
        <v>0</v>
      </c>
      <c r="BV17" s="17" cm="1">
        <f t="array" ref="BV17">SUM(COUNTIF(D17:BT17,{"A";"AT"}))</f>
        <v>69</v>
      </c>
      <c r="BW17" s="17">
        <f t="shared" si="1"/>
        <v>0</v>
      </c>
      <c r="BX17" s="17">
        <f t="shared" si="2"/>
        <v>0</v>
      </c>
      <c r="BY17" s="18">
        <f t="shared" si="3"/>
        <v>69</v>
      </c>
    </row>
    <row r="18" spans="1:77" ht="20.25" customHeight="1" thickBot="1" x14ac:dyDescent="0.25">
      <c r="A18" s="1">
        <v>8</v>
      </c>
      <c r="B18" s="94"/>
      <c r="C18" s="95"/>
      <c r="D18" s="11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  <c r="J18" s="12" t="s">
        <v>24</v>
      </c>
      <c r="K18" s="12" t="s">
        <v>24</v>
      </c>
      <c r="L18" s="12" t="s">
        <v>24</v>
      </c>
      <c r="M18" s="12" t="s">
        <v>24</v>
      </c>
      <c r="N18" s="12" t="s">
        <v>24</v>
      </c>
      <c r="O18" s="12" t="s">
        <v>24</v>
      </c>
      <c r="P18" s="12" t="s">
        <v>24</v>
      </c>
      <c r="Q18" s="12" t="s">
        <v>24</v>
      </c>
      <c r="R18" s="12" t="s">
        <v>24</v>
      </c>
      <c r="S18" s="12" t="s">
        <v>24</v>
      </c>
      <c r="T18" s="12" t="s">
        <v>24</v>
      </c>
      <c r="U18" s="12" t="s">
        <v>24</v>
      </c>
      <c r="V18" s="13" t="s">
        <v>24</v>
      </c>
      <c r="W18" s="12" t="s">
        <v>24</v>
      </c>
      <c r="X18" s="12" t="s">
        <v>24</v>
      </c>
      <c r="Y18" s="12" t="s">
        <v>24</v>
      </c>
      <c r="Z18" s="12" t="s">
        <v>24</v>
      </c>
      <c r="AA18" s="12" t="s">
        <v>24</v>
      </c>
      <c r="AB18" s="12" t="s">
        <v>24</v>
      </c>
      <c r="AC18" s="12" t="s">
        <v>24</v>
      </c>
      <c r="AD18" s="12" t="s">
        <v>24</v>
      </c>
      <c r="AE18" s="12" t="s">
        <v>24</v>
      </c>
      <c r="AF18" s="12" t="s">
        <v>24</v>
      </c>
      <c r="AG18" s="12" t="s">
        <v>24</v>
      </c>
      <c r="AH18" s="12" t="s">
        <v>24</v>
      </c>
      <c r="AI18" s="12" t="s">
        <v>24</v>
      </c>
      <c r="AJ18" s="12" t="s">
        <v>24</v>
      </c>
      <c r="AK18" s="12" t="s">
        <v>24</v>
      </c>
      <c r="AL18" s="12" t="s">
        <v>24</v>
      </c>
      <c r="AM18" s="12" t="s">
        <v>24</v>
      </c>
      <c r="AN18" s="12" t="s">
        <v>24</v>
      </c>
      <c r="AO18" s="12" t="s">
        <v>24</v>
      </c>
      <c r="AP18" s="12" t="s">
        <v>24</v>
      </c>
      <c r="AQ18" s="12" t="s">
        <v>24</v>
      </c>
      <c r="AR18" s="13" t="s">
        <v>24</v>
      </c>
      <c r="AS18" s="12" t="s">
        <v>24</v>
      </c>
      <c r="AT18" s="12" t="s">
        <v>24</v>
      </c>
      <c r="AU18" s="12" t="s">
        <v>24</v>
      </c>
      <c r="AV18" s="12" t="s">
        <v>24</v>
      </c>
      <c r="AW18" s="12" t="s">
        <v>24</v>
      </c>
      <c r="AX18" s="12" t="s">
        <v>24</v>
      </c>
      <c r="AY18" s="12" t="s">
        <v>24</v>
      </c>
      <c r="AZ18" s="12" t="s">
        <v>24</v>
      </c>
      <c r="BA18" s="12" t="s">
        <v>24</v>
      </c>
      <c r="BB18" s="12" t="s">
        <v>24</v>
      </c>
      <c r="BC18" s="12" t="s">
        <v>24</v>
      </c>
      <c r="BD18" s="12" t="s">
        <v>24</v>
      </c>
      <c r="BE18" s="12" t="s">
        <v>24</v>
      </c>
      <c r="BF18" s="12" t="s">
        <v>24</v>
      </c>
      <c r="BG18" s="12" t="s">
        <v>24</v>
      </c>
      <c r="BH18" s="12" t="s">
        <v>24</v>
      </c>
      <c r="BI18" s="12" t="s">
        <v>24</v>
      </c>
      <c r="BJ18" s="12" t="s">
        <v>24</v>
      </c>
      <c r="BK18" s="12" t="s">
        <v>24</v>
      </c>
      <c r="BL18" s="12" t="s">
        <v>24</v>
      </c>
      <c r="BM18" s="12" t="s">
        <v>24</v>
      </c>
      <c r="BN18" s="12" t="s">
        <v>24</v>
      </c>
      <c r="BO18" s="13" t="s">
        <v>24</v>
      </c>
      <c r="BP18" s="12" t="s">
        <v>24</v>
      </c>
      <c r="BQ18" s="12" t="s">
        <v>24</v>
      </c>
      <c r="BR18" s="12" t="s">
        <v>24</v>
      </c>
      <c r="BS18" s="12" t="s">
        <v>24</v>
      </c>
      <c r="BT18" s="12" t="s">
        <v>24</v>
      </c>
      <c r="BU18" s="17">
        <f t="shared" si="0"/>
        <v>0</v>
      </c>
      <c r="BV18" s="17" cm="1">
        <f t="array" ref="BV18">SUM(COUNTIF(D18:BT18,{"A";"AT"}))</f>
        <v>69</v>
      </c>
      <c r="BW18" s="17">
        <f t="shared" si="1"/>
        <v>0</v>
      </c>
      <c r="BX18" s="17">
        <f t="shared" si="2"/>
        <v>0</v>
      </c>
      <c r="BY18" s="18">
        <f t="shared" si="3"/>
        <v>69</v>
      </c>
    </row>
    <row r="19" spans="1:77" ht="20.25" customHeight="1" thickBot="1" x14ac:dyDescent="0.25">
      <c r="A19" s="1">
        <v>9</v>
      </c>
      <c r="B19" s="94"/>
      <c r="C19" s="95"/>
      <c r="D19" s="11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  <c r="J19" s="12" t="s">
        <v>24</v>
      </c>
      <c r="K19" s="12" t="s">
        <v>24</v>
      </c>
      <c r="L19" s="12" t="s">
        <v>24</v>
      </c>
      <c r="M19" s="12" t="s">
        <v>24</v>
      </c>
      <c r="N19" s="12" t="s">
        <v>24</v>
      </c>
      <c r="O19" s="12" t="s">
        <v>24</v>
      </c>
      <c r="P19" s="12" t="s">
        <v>24</v>
      </c>
      <c r="Q19" s="12" t="s">
        <v>24</v>
      </c>
      <c r="R19" s="12" t="s">
        <v>24</v>
      </c>
      <c r="S19" s="12" t="s">
        <v>24</v>
      </c>
      <c r="T19" s="12" t="s">
        <v>24</v>
      </c>
      <c r="U19" s="12" t="s">
        <v>24</v>
      </c>
      <c r="V19" s="13" t="s">
        <v>24</v>
      </c>
      <c r="W19" s="12" t="s">
        <v>24</v>
      </c>
      <c r="X19" s="12" t="s">
        <v>24</v>
      </c>
      <c r="Y19" s="12" t="s">
        <v>24</v>
      </c>
      <c r="Z19" s="12" t="s">
        <v>24</v>
      </c>
      <c r="AA19" s="12" t="s">
        <v>24</v>
      </c>
      <c r="AB19" s="12" t="s">
        <v>24</v>
      </c>
      <c r="AC19" s="12" t="s">
        <v>24</v>
      </c>
      <c r="AD19" s="12" t="s">
        <v>24</v>
      </c>
      <c r="AE19" s="12" t="s">
        <v>24</v>
      </c>
      <c r="AF19" s="12" t="s">
        <v>24</v>
      </c>
      <c r="AG19" s="12" t="s">
        <v>24</v>
      </c>
      <c r="AH19" s="12" t="s">
        <v>24</v>
      </c>
      <c r="AI19" s="12" t="s">
        <v>24</v>
      </c>
      <c r="AJ19" s="12" t="s">
        <v>24</v>
      </c>
      <c r="AK19" s="12" t="s">
        <v>24</v>
      </c>
      <c r="AL19" s="12" t="s">
        <v>24</v>
      </c>
      <c r="AM19" s="12" t="s">
        <v>24</v>
      </c>
      <c r="AN19" s="12" t="s">
        <v>24</v>
      </c>
      <c r="AO19" s="12" t="s">
        <v>24</v>
      </c>
      <c r="AP19" s="12" t="s">
        <v>24</v>
      </c>
      <c r="AQ19" s="12" t="s">
        <v>24</v>
      </c>
      <c r="AR19" s="13" t="s">
        <v>24</v>
      </c>
      <c r="AS19" s="12" t="s">
        <v>24</v>
      </c>
      <c r="AT19" s="12" t="s">
        <v>24</v>
      </c>
      <c r="AU19" s="12" t="s">
        <v>24</v>
      </c>
      <c r="AV19" s="12" t="s">
        <v>24</v>
      </c>
      <c r="AW19" s="12" t="s">
        <v>24</v>
      </c>
      <c r="AX19" s="12" t="s">
        <v>24</v>
      </c>
      <c r="AY19" s="12" t="s">
        <v>24</v>
      </c>
      <c r="AZ19" s="12" t="s">
        <v>24</v>
      </c>
      <c r="BA19" s="12" t="s">
        <v>24</v>
      </c>
      <c r="BB19" s="12" t="s">
        <v>24</v>
      </c>
      <c r="BC19" s="12" t="s">
        <v>24</v>
      </c>
      <c r="BD19" s="12" t="s">
        <v>24</v>
      </c>
      <c r="BE19" s="12" t="s">
        <v>24</v>
      </c>
      <c r="BF19" s="12" t="s">
        <v>24</v>
      </c>
      <c r="BG19" s="12" t="s">
        <v>24</v>
      </c>
      <c r="BH19" s="12" t="s">
        <v>24</v>
      </c>
      <c r="BI19" s="12" t="s">
        <v>24</v>
      </c>
      <c r="BJ19" s="12" t="s">
        <v>24</v>
      </c>
      <c r="BK19" s="12" t="s">
        <v>24</v>
      </c>
      <c r="BL19" s="12" t="s">
        <v>24</v>
      </c>
      <c r="BM19" s="12" t="s">
        <v>24</v>
      </c>
      <c r="BN19" s="12" t="s">
        <v>24</v>
      </c>
      <c r="BO19" s="13" t="s">
        <v>24</v>
      </c>
      <c r="BP19" s="12" t="s">
        <v>24</v>
      </c>
      <c r="BQ19" s="12" t="s">
        <v>24</v>
      </c>
      <c r="BR19" s="12" t="s">
        <v>24</v>
      </c>
      <c r="BS19" s="12" t="s">
        <v>24</v>
      </c>
      <c r="BT19" s="12" t="s">
        <v>24</v>
      </c>
      <c r="BU19" s="17">
        <f>COUNTIF(D19:BT19,"AT")</f>
        <v>0</v>
      </c>
      <c r="BV19" s="17" cm="1">
        <f t="array" ref="BV19">SUM(COUNTIF(D19:BT19,{"A";"AT"}))</f>
        <v>69</v>
      </c>
      <c r="BW19" s="17">
        <f t="shared" si="1"/>
        <v>0</v>
      </c>
      <c r="BX19" s="17">
        <f t="shared" si="2"/>
        <v>0</v>
      </c>
      <c r="BY19" s="18">
        <f t="shared" si="3"/>
        <v>69</v>
      </c>
    </row>
    <row r="20" spans="1:77" ht="20.25" customHeight="1" thickBot="1" x14ac:dyDescent="0.25">
      <c r="A20" s="1">
        <v>10</v>
      </c>
      <c r="B20" s="94"/>
      <c r="C20" s="95"/>
      <c r="D20" s="11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  <c r="J20" s="12" t="s">
        <v>24</v>
      </c>
      <c r="K20" s="12" t="s">
        <v>24</v>
      </c>
      <c r="L20" s="12" t="s">
        <v>24</v>
      </c>
      <c r="M20" s="12" t="s">
        <v>24</v>
      </c>
      <c r="N20" s="12" t="s">
        <v>24</v>
      </c>
      <c r="O20" s="12" t="s">
        <v>24</v>
      </c>
      <c r="P20" s="12" t="s">
        <v>24</v>
      </c>
      <c r="Q20" s="12" t="s">
        <v>24</v>
      </c>
      <c r="R20" s="12" t="s">
        <v>24</v>
      </c>
      <c r="S20" s="12" t="s">
        <v>24</v>
      </c>
      <c r="T20" s="12" t="s">
        <v>24</v>
      </c>
      <c r="U20" s="12" t="s">
        <v>24</v>
      </c>
      <c r="V20" s="13" t="s">
        <v>24</v>
      </c>
      <c r="W20" s="12" t="s">
        <v>24</v>
      </c>
      <c r="X20" s="12" t="s">
        <v>24</v>
      </c>
      <c r="Y20" s="12" t="s">
        <v>24</v>
      </c>
      <c r="Z20" s="12" t="s">
        <v>24</v>
      </c>
      <c r="AA20" s="12" t="s">
        <v>24</v>
      </c>
      <c r="AB20" s="12" t="s">
        <v>24</v>
      </c>
      <c r="AC20" s="12" t="s">
        <v>24</v>
      </c>
      <c r="AD20" s="12" t="s">
        <v>24</v>
      </c>
      <c r="AE20" s="12" t="s">
        <v>24</v>
      </c>
      <c r="AF20" s="12" t="s">
        <v>24</v>
      </c>
      <c r="AG20" s="12" t="s">
        <v>24</v>
      </c>
      <c r="AH20" s="12" t="s">
        <v>24</v>
      </c>
      <c r="AI20" s="12" t="s">
        <v>24</v>
      </c>
      <c r="AJ20" s="12" t="s">
        <v>24</v>
      </c>
      <c r="AK20" s="12" t="s">
        <v>24</v>
      </c>
      <c r="AL20" s="12" t="s">
        <v>24</v>
      </c>
      <c r="AM20" s="12" t="s">
        <v>24</v>
      </c>
      <c r="AN20" s="12" t="s">
        <v>24</v>
      </c>
      <c r="AO20" s="12" t="s">
        <v>24</v>
      </c>
      <c r="AP20" s="12" t="s">
        <v>24</v>
      </c>
      <c r="AQ20" s="12" t="s">
        <v>24</v>
      </c>
      <c r="AR20" s="13" t="s">
        <v>24</v>
      </c>
      <c r="AS20" s="12" t="s">
        <v>24</v>
      </c>
      <c r="AT20" s="12" t="s">
        <v>24</v>
      </c>
      <c r="AU20" s="12" t="s">
        <v>24</v>
      </c>
      <c r="AV20" s="12" t="s">
        <v>24</v>
      </c>
      <c r="AW20" s="12" t="s">
        <v>24</v>
      </c>
      <c r="AX20" s="12" t="s">
        <v>24</v>
      </c>
      <c r="AY20" s="12" t="s">
        <v>24</v>
      </c>
      <c r="AZ20" s="12" t="s">
        <v>24</v>
      </c>
      <c r="BA20" s="12" t="s">
        <v>24</v>
      </c>
      <c r="BB20" s="12" t="s">
        <v>24</v>
      </c>
      <c r="BC20" s="12" t="s">
        <v>24</v>
      </c>
      <c r="BD20" s="12" t="s">
        <v>24</v>
      </c>
      <c r="BE20" s="12" t="s">
        <v>24</v>
      </c>
      <c r="BF20" s="12" t="s">
        <v>24</v>
      </c>
      <c r="BG20" s="12" t="s">
        <v>24</v>
      </c>
      <c r="BH20" s="12" t="s">
        <v>24</v>
      </c>
      <c r="BI20" s="12" t="s">
        <v>24</v>
      </c>
      <c r="BJ20" s="12" t="s">
        <v>24</v>
      </c>
      <c r="BK20" s="12" t="s">
        <v>24</v>
      </c>
      <c r="BL20" s="12" t="s">
        <v>24</v>
      </c>
      <c r="BM20" s="12" t="s">
        <v>24</v>
      </c>
      <c r="BN20" s="12" t="s">
        <v>24</v>
      </c>
      <c r="BO20" s="13" t="s">
        <v>24</v>
      </c>
      <c r="BP20" s="12" t="s">
        <v>24</v>
      </c>
      <c r="BQ20" s="12" t="s">
        <v>24</v>
      </c>
      <c r="BR20" s="12" t="s">
        <v>24</v>
      </c>
      <c r="BS20" s="12" t="s">
        <v>24</v>
      </c>
      <c r="BT20" s="12" t="s">
        <v>24</v>
      </c>
      <c r="BU20" s="17">
        <f t="shared" si="0"/>
        <v>0</v>
      </c>
      <c r="BV20" s="17" cm="1">
        <f t="array" ref="BV20">SUM(COUNTIF(D20:BT20,{"A";"AT"}))</f>
        <v>69</v>
      </c>
      <c r="BW20" s="17">
        <f t="shared" si="1"/>
        <v>0</v>
      </c>
      <c r="BX20" s="17">
        <f t="shared" si="2"/>
        <v>0</v>
      </c>
      <c r="BY20" s="18">
        <f t="shared" si="3"/>
        <v>69</v>
      </c>
    </row>
    <row r="21" spans="1:77" ht="20.25" customHeight="1" thickBot="1" x14ac:dyDescent="0.25">
      <c r="A21" s="1">
        <v>11</v>
      </c>
      <c r="B21" s="94"/>
      <c r="C21" s="95"/>
      <c r="D21" s="11" t="s">
        <v>24</v>
      </c>
      <c r="E21" s="12" t="s">
        <v>24</v>
      </c>
      <c r="F21" s="12" t="s">
        <v>24</v>
      </c>
      <c r="G21" s="12" t="s">
        <v>24</v>
      </c>
      <c r="H21" s="12" t="s">
        <v>24</v>
      </c>
      <c r="I21" s="12" t="s">
        <v>24</v>
      </c>
      <c r="J21" s="12" t="s">
        <v>24</v>
      </c>
      <c r="K21" s="12" t="s">
        <v>24</v>
      </c>
      <c r="L21" s="12" t="s">
        <v>24</v>
      </c>
      <c r="M21" s="12" t="s">
        <v>24</v>
      </c>
      <c r="N21" s="12" t="s">
        <v>24</v>
      </c>
      <c r="O21" s="12" t="s">
        <v>24</v>
      </c>
      <c r="P21" s="12" t="s">
        <v>24</v>
      </c>
      <c r="Q21" s="12" t="s">
        <v>24</v>
      </c>
      <c r="R21" s="12" t="s">
        <v>24</v>
      </c>
      <c r="S21" s="12" t="s">
        <v>24</v>
      </c>
      <c r="T21" s="12" t="s">
        <v>24</v>
      </c>
      <c r="U21" s="12" t="s">
        <v>24</v>
      </c>
      <c r="V21" s="13" t="s">
        <v>24</v>
      </c>
      <c r="W21" s="12" t="s">
        <v>24</v>
      </c>
      <c r="X21" s="12" t="s">
        <v>24</v>
      </c>
      <c r="Y21" s="12" t="s">
        <v>24</v>
      </c>
      <c r="Z21" s="12" t="s">
        <v>24</v>
      </c>
      <c r="AA21" s="12" t="s">
        <v>24</v>
      </c>
      <c r="AB21" s="12" t="s">
        <v>24</v>
      </c>
      <c r="AC21" s="12" t="s">
        <v>24</v>
      </c>
      <c r="AD21" s="12" t="s">
        <v>24</v>
      </c>
      <c r="AE21" s="12" t="s">
        <v>24</v>
      </c>
      <c r="AF21" s="12" t="s">
        <v>24</v>
      </c>
      <c r="AG21" s="12" t="s">
        <v>24</v>
      </c>
      <c r="AH21" s="12" t="s">
        <v>24</v>
      </c>
      <c r="AI21" s="12" t="s">
        <v>24</v>
      </c>
      <c r="AJ21" s="12" t="s">
        <v>24</v>
      </c>
      <c r="AK21" s="12" t="s">
        <v>24</v>
      </c>
      <c r="AL21" s="12" t="s">
        <v>24</v>
      </c>
      <c r="AM21" s="12" t="s">
        <v>24</v>
      </c>
      <c r="AN21" s="12" t="s">
        <v>24</v>
      </c>
      <c r="AO21" s="12" t="s">
        <v>24</v>
      </c>
      <c r="AP21" s="12" t="s">
        <v>24</v>
      </c>
      <c r="AQ21" s="12" t="s">
        <v>24</v>
      </c>
      <c r="AR21" s="13" t="s">
        <v>24</v>
      </c>
      <c r="AS21" s="12" t="s">
        <v>24</v>
      </c>
      <c r="AT21" s="12" t="s">
        <v>24</v>
      </c>
      <c r="AU21" s="12" t="s">
        <v>24</v>
      </c>
      <c r="AV21" s="12" t="s">
        <v>24</v>
      </c>
      <c r="AW21" s="12" t="s">
        <v>24</v>
      </c>
      <c r="AX21" s="12" t="s">
        <v>24</v>
      </c>
      <c r="AY21" s="12" t="s">
        <v>24</v>
      </c>
      <c r="AZ21" s="12" t="s">
        <v>24</v>
      </c>
      <c r="BA21" s="12" t="s">
        <v>24</v>
      </c>
      <c r="BB21" s="12" t="s">
        <v>24</v>
      </c>
      <c r="BC21" s="12" t="s">
        <v>24</v>
      </c>
      <c r="BD21" s="12" t="s">
        <v>24</v>
      </c>
      <c r="BE21" s="12" t="s">
        <v>24</v>
      </c>
      <c r="BF21" s="12" t="s">
        <v>24</v>
      </c>
      <c r="BG21" s="12" t="s">
        <v>24</v>
      </c>
      <c r="BH21" s="12" t="s">
        <v>24</v>
      </c>
      <c r="BI21" s="12" t="s">
        <v>24</v>
      </c>
      <c r="BJ21" s="12" t="s">
        <v>24</v>
      </c>
      <c r="BK21" s="12" t="s">
        <v>24</v>
      </c>
      <c r="BL21" s="12" t="s">
        <v>24</v>
      </c>
      <c r="BM21" s="12" t="s">
        <v>24</v>
      </c>
      <c r="BN21" s="12" t="s">
        <v>24</v>
      </c>
      <c r="BO21" s="13" t="s">
        <v>24</v>
      </c>
      <c r="BP21" s="12" t="s">
        <v>24</v>
      </c>
      <c r="BQ21" s="12" t="s">
        <v>24</v>
      </c>
      <c r="BR21" s="12" t="s">
        <v>24</v>
      </c>
      <c r="BS21" s="12" t="s">
        <v>24</v>
      </c>
      <c r="BT21" s="12" t="s">
        <v>24</v>
      </c>
      <c r="BU21" s="17">
        <f t="shared" si="0"/>
        <v>0</v>
      </c>
      <c r="BV21" s="17" cm="1">
        <f t="array" ref="BV21">SUM(COUNTIF(D21:BT21,{"A";"AT"}))</f>
        <v>69</v>
      </c>
      <c r="BW21" s="17">
        <f t="shared" si="1"/>
        <v>0</v>
      </c>
      <c r="BX21" s="17">
        <f t="shared" si="2"/>
        <v>0</v>
      </c>
      <c r="BY21" s="18">
        <f t="shared" si="3"/>
        <v>69</v>
      </c>
    </row>
    <row r="22" spans="1:77" ht="20.25" customHeight="1" thickBot="1" x14ac:dyDescent="0.25">
      <c r="A22" s="1">
        <v>12</v>
      </c>
      <c r="B22" s="94"/>
      <c r="C22" s="95"/>
      <c r="D22" s="11" t="s">
        <v>24</v>
      </c>
      <c r="E22" s="12" t="s">
        <v>24</v>
      </c>
      <c r="F22" s="12" t="s">
        <v>24</v>
      </c>
      <c r="G22" s="12" t="s">
        <v>24</v>
      </c>
      <c r="H22" s="12" t="s">
        <v>24</v>
      </c>
      <c r="I22" s="12" t="s">
        <v>24</v>
      </c>
      <c r="J22" s="12" t="s">
        <v>24</v>
      </c>
      <c r="K22" s="12" t="s">
        <v>24</v>
      </c>
      <c r="L22" s="12" t="s">
        <v>24</v>
      </c>
      <c r="M22" s="12" t="s">
        <v>24</v>
      </c>
      <c r="N22" s="12" t="s">
        <v>24</v>
      </c>
      <c r="O22" s="12" t="s">
        <v>24</v>
      </c>
      <c r="P22" s="12" t="s">
        <v>24</v>
      </c>
      <c r="Q22" s="12" t="s">
        <v>24</v>
      </c>
      <c r="R22" s="12" t="s">
        <v>24</v>
      </c>
      <c r="S22" s="12" t="s">
        <v>24</v>
      </c>
      <c r="T22" s="12" t="s">
        <v>24</v>
      </c>
      <c r="U22" s="12" t="s">
        <v>24</v>
      </c>
      <c r="V22" s="13" t="s">
        <v>24</v>
      </c>
      <c r="W22" s="12" t="s">
        <v>24</v>
      </c>
      <c r="X22" s="12" t="s">
        <v>24</v>
      </c>
      <c r="Y22" s="12" t="s">
        <v>24</v>
      </c>
      <c r="Z22" s="12" t="s">
        <v>24</v>
      </c>
      <c r="AA22" s="12" t="s">
        <v>24</v>
      </c>
      <c r="AB22" s="12" t="s">
        <v>24</v>
      </c>
      <c r="AC22" s="12" t="s">
        <v>24</v>
      </c>
      <c r="AD22" s="12" t="s">
        <v>24</v>
      </c>
      <c r="AE22" s="12" t="s">
        <v>24</v>
      </c>
      <c r="AF22" s="12" t="s">
        <v>24</v>
      </c>
      <c r="AG22" s="12" t="s">
        <v>24</v>
      </c>
      <c r="AH22" s="12" t="s">
        <v>24</v>
      </c>
      <c r="AI22" s="12" t="s">
        <v>24</v>
      </c>
      <c r="AJ22" s="12" t="s">
        <v>24</v>
      </c>
      <c r="AK22" s="12" t="s">
        <v>24</v>
      </c>
      <c r="AL22" s="12" t="s">
        <v>24</v>
      </c>
      <c r="AM22" s="12" t="s">
        <v>24</v>
      </c>
      <c r="AN22" s="12" t="s">
        <v>24</v>
      </c>
      <c r="AO22" s="12" t="s">
        <v>24</v>
      </c>
      <c r="AP22" s="12" t="s">
        <v>24</v>
      </c>
      <c r="AQ22" s="12" t="s">
        <v>24</v>
      </c>
      <c r="AR22" s="13" t="s">
        <v>24</v>
      </c>
      <c r="AS22" s="12" t="s">
        <v>24</v>
      </c>
      <c r="AT22" s="12" t="s">
        <v>24</v>
      </c>
      <c r="AU22" s="12" t="s">
        <v>24</v>
      </c>
      <c r="AV22" s="12" t="s">
        <v>24</v>
      </c>
      <c r="AW22" s="12" t="s">
        <v>24</v>
      </c>
      <c r="AX22" s="12" t="s">
        <v>24</v>
      </c>
      <c r="AY22" s="12" t="s">
        <v>24</v>
      </c>
      <c r="AZ22" s="12" t="s">
        <v>24</v>
      </c>
      <c r="BA22" s="12" t="s">
        <v>24</v>
      </c>
      <c r="BB22" s="12" t="s">
        <v>24</v>
      </c>
      <c r="BC22" s="12" t="s">
        <v>24</v>
      </c>
      <c r="BD22" s="12" t="s">
        <v>24</v>
      </c>
      <c r="BE22" s="12" t="s">
        <v>24</v>
      </c>
      <c r="BF22" s="12" t="s">
        <v>24</v>
      </c>
      <c r="BG22" s="12" t="s">
        <v>24</v>
      </c>
      <c r="BH22" s="12" t="s">
        <v>24</v>
      </c>
      <c r="BI22" s="12" t="s">
        <v>24</v>
      </c>
      <c r="BJ22" s="12" t="s">
        <v>24</v>
      </c>
      <c r="BK22" s="12" t="s">
        <v>24</v>
      </c>
      <c r="BL22" s="12" t="s">
        <v>24</v>
      </c>
      <c r="BM22" s="12" t="s">
        <v>24</v>
      </c>
      <c r="BN22" s="12" t="s">
        <v>24</v>
      </c>
      <c r="BO22" s="13" t="s">
        <v>24</v>
      </c>
      <c r="BP22" s="12" t="s">
        <v>24</v>
      </c>
      <c r="BQ22" s="12" t="s">
        <v>24</v>
      </c>
      <c r="BR22" s="12" t="s">
        <v>24</v>
      </c>
      <c r="BS22" s="12" t="s">
        <v>24</v>
      </c>
      <c r="BT22" s="12" t="s">
        <v>24</v>
      </c>
      <c r="BU22" s="17">
        <f t="shared" si="0"/>
        <v>0</v>
      </c>
      <c r="BV22" s="17" cm="1">
        <f t="array" ref="BV22">SUM(COUNTIF(D22:BT22,{"A";"AT"}))</f>
        <v>69</v>
      </c>
      <c r="BW22" s="17">
        <f t="shared" si="1"/>
        <v>0</v>
      </c>
      <c r="BX22" s="17">
        <f t="shared" si="2"/>
        <v>0</v>
      </c>
      <c r="BY22" s="18">
        <f t="shared" si="3"/>
        <v>69</v>
      </c>
    </row>
    <row r="23" spans="1:77" ht="20.25" customHeight="1" thickBot="1" x14ac:dyDescent="0.25">
      <c r="A23" s="1">
        <v>13</v>
      </c>
      <c r="B23" s="94"/>
      <c r="C23" s="95"/>
      <c r="D23" s="11" t="s">
        <v>24</v>
      </c>
      <c r="E23" s="12" t="s">
        <v>24</v>
      </c>
      <c r="F23" s="12" t="s">
        <v>24</v>
      </c>
      <c r="G23" s="12" t="s">
        <v>24</v>
      </c>
      <c r="H23" s="12" t="s">
        <v>24</v>
      </c>
      <c r="I23" s="12" t="s">
        <v>24</v>
      </c>
      <c r="J23" s="12" t="s">
        <v>24</v>
      </c>
      <c r="K23" s="12" t="s">
        <v>24</v>
      </c>
      <c r="L23" s="12" t="s">
        <v>24</v>
      </c>
      <c r="M23" s="12" t="s">
        <v>24</v>
      </c>
      <c r="N23" s="12" t="s">
        <v>24</v>
      </c>
      <c r="O23" s="12" t="s">
        <v>24</v>
      </c>
      <c r="P23" s="12" t="s">
        <v>24</v>
      </c>
      <c r="Q23" s="12" t="s">
        <v>24</v>
      </c>
      <c r="R23" s="12" t="s">
        <v>24</v>
      </c>
      <c r="S23" s="12" t="s">
        <v>24</v>
      </c>
      <c r="T23" s="12" t="s">
        <v>24</v>
      </c>
      <c r="U23" s="12" t="s">
        <v>24</v>
      </c>
      <c r="V23" s="13" t="s">
        <v>24</v>
      </c>
      <c r="W23" s="12" t="s">
        <v>24</v>
      </c>
      <c r="X23" s="12" t="s">
        <v>24</v>
      </c>
      <c r="Y23" s="12" t="s">
        <v>24</v>
      </c>
      <c r="Z23" s="12" t="s">
        <v>24</v>
      </c>
      <c r="AA23" s="12" t="s">
        <v>24</v>
      </c>
      <c r="AB23" s="12" t="s">
        <v>24</v>
      </c>
      <c r="AC23" s="12" t="s">
        <v>24</v>
      </c>
      <c r="AD23" s="12" t="s">
        <v>24</v>
      </c>
      <c r="AE23" s="12" t="s">
        <v>24</v>
      </c>
      <c r="AF23" s="12" t="s">
        <v>24</v>
      </c>
      <c r="AG23" s="12" t="s">
        <v>24</v>
      </c>
      <c r="AH23" s="12" t="s">
        <v>24</v>
      </c>
      <c r="AI23" s="12" t="s">
        <v>24</v>
      </c>
      <c r="AJ23" s="12" t="s">
        <v>24</v>
      </c>
      <c r="AK23" s="12" t="s">
        <v>24</v>
      </c>
      <c r="AL23" s="12" t="s">
        <v>24</v>
      </c>
      <c r="AM23" s="12" t="s">
        <v>24</v>
      </c>
      <c r="AN23" s="12" t="s">
        <v>24</v>
      </c>
      <c r="AO23" s="12" t="s">
        <v>24</v>
      </c>
      <c r="AP23" s="12" t="s">
        <v>24</v>
      </c>
      <c r="AQ23" s="12" t="s">
        <v>24</v>
      </c>
      <c r="AR23" s="13" t="s">
        <v>24</v>
      </c>
      <c r="AS23" s="12" t="s">
        <v>24</v>
      </c>
      <c r="AT23" s="12" t="s">
        <v>24</v>
      </c>
      <c r="AU23" s="12" t="s">
        <v>24</v>
      </c>
      <c r="AV23" s="12" t="s">
        <v>24</v>
      </c>
      <c r="AW23" s="12" t="s">
        <v>24</v>
      </c>
      <c r="AX23" s="12" t="s">
        <v>24</v>
      </c>
      <c r="AY23" s="12" t="s">
        <v>24</v>
      </c>
      <c r="AZ23" s="12" t="s">
        <v>24</v>
      </c>
      <c r="BA23" s="12" t="s">
        <v>24</v>
      </c>
      <c r="BB23" s="12" t="s">
        <v>24</v>
      </c>
      <c r="BC23" s="12" t="s">
        <v>24</v>
      </c>
      <c r="BD23" s="12" t="s">
        <v>24</v>
      </c>
      <c r="BE23" s="12" t="s">
        <v>24</v>
      </c>
      <c r="BF23" s="12" t="s">
        <v>24</v>
      </c>
      <c r="BG23" s="12" t="s">
        <v>24</v>
      </c>
      <c r="BH23" s="12" t="s">
        <v>24</v>
      </c>
      <c r="BI23" s="12" t="s">
        <v>24</v>
      </c>
      <c r="BJ23" s="12" t="s">
        <v>24</v>
      </c>
      <c r="BK23" s="12" t="s">
        <v>24</v>
      </c>
      <c r="BL23" s="12" t="s">
        <v>24</v>
      </c>
      <c r="BM23" s="12" t="s">
        <v>24</v>
      </c>
      <c r="BN23" s="12" t="s">
        <v>24</v>
      </c>
      <c r="BO23" s="13" t="s">
        <v>24</v>
      </c>
      <c r="BP23" s="12" t="s">
        <v>24</v>
      </c>
      <c r="BQ23" s="12" t="s">
        <v>24</v>
      </c>
      <c r="BR23" s="12" t="s">
        <v>24</v>
      </c>
      <c r="BS23" s="12" t="s">
        <v>24</v>
      </c>
      <c r="BT23" s="12" t="s">
        <v>24</v>
      </c>
      <c r="BU23" s="17">
        <f t="shared" si="0"/>
        <v>0</v>
      </c>
      <c r="BV23" s="17" cm="1">
        <f t="array" ref="BV23">SUM(COUNTIF(D23:BT23,{"A";"AT"}))</f>
        <v>69</v>
      </c>
      <c r="BW23" s="17">
        <f t="shared" si="1"/>
        <v>0</v>
      </c>
      <c r="BX23" s="17">
        <f t="shared" si="2"/>
        <v>0</v>
      </c>
      <c r="BY23" s="18">
        <f t="shared" si="3"/>
        <v>69</v>
      </c>
    </row>
    <row r="24" spans="1:77" ht="20.25" customHeight="1" thickBot="1" x14ac:dyDescent="0.25">
      <c r="A24" s="1">
        <v>14</v>
      </c>
      <c r="B24" s="94"/>
      <c r="C24" s="95"/>
      <c r="D24" s="11" t="s">
        <v>24</v>
      </c>
      <c r="E24" s="12" t="s">
        <v>24</v>
      </c>
      <c r="F24" s="12" t="s">
        <v>24</v>
      </c>
      <c r="G24" s="12" t="s">
        <v>24</v>
      </c>
      <c r="H24" s="12" t="s">
        <v>24</v>
      </c>
      <c r="I24" s="12" t="s">
        <v>24</v>
      </c>
      <c r="J24" s="12" t="s">
        <v>24</v>
      </c>
      <c r="K24" s="12" t="s">
        <v>24</v>
      </c>
      <c r="L24" s="12" t="s">
        <v>24</v>
      </c>
      <c r="M24" s="12" t="s">
        <v>24</v>
      </c>
      <c r="N24" s="12" t="s">
        <v>24</v>
      </c>
      <c r="O24" s="12" t="s">
        <v>24</v>
      </c>
      <c r="P24" s="12" t="s">
        <v>24</v>
      </c>
      <c r="Q24" s="12" t="s">
        <v>24</v>
      </c>
      <c r="R24" s="12" t="s">
        <v>24</v>
      </c>
      <c r="S24" s="12" t="s">
        <v>24</v>
      </c>
      <c r="T24" s="12" t="s">
        <v>24</v>
      </c>
      <c r="U24" s="12" t="s">
        <v>24</v>
      </c>
      <c r="V24" s="13" t="s">
        <v>24</v>
      </c>
      <c r="W24" s="12" t="s">
        <v>24</v>
      </c>
      <c r="X24" s="12" t="s">
        <v>24</v>
      </c>
      <c r="Y24" s="12" t="s">
        <v>24</v>
      </c>
      <c r="Z24" s="12" t="s">
        <v>24</v>
      </c>
      <c r="AA24" s="12" t="s">
        <v>24</v>
      </c>
      <c r="AB24" s="12" t="s">
        <v>24</v>
      </c>
      <c r="AC24" s="12" t="s">
        <v>24</v>
      </c>
      <c r="AD24" s="12" t="s">
        <v>24</v>
      </c>
      <c r="AE24" s="12" t="s">
        <v>24</v>
      </c>
      <c r="AF24" s="12" t="s">
        <v>24</v>
      </c>
      <c r="AG24" s="12" t="s">
        <v>24</v>
      </c>
      <c r="AH24" s="12" t="s">
        <v>24</v>
      </c>
      <c r="AI24" s="12" t="s">
        <v>24</v>
      </c>
      <c r="AJ24" s="12" t="s">
        <v>24</v>
      </c>
      <c r="AK24" s="12" t="s">
        <v>24</v>
      </c>
      <c r="AL24" s="12" t="s">
        <v>24</v>
      </c>
      <c r="AM24" s="12" t="s">
        <v>24</v>
      </c>
      <c r="AN24" s="12" t="s">
        <v>24</v>
      </c>
      <c r="AO24" s="12" t="s">
        <v>24</v>
      </c>
      <c r="AP24" s="12" t="s">
        <v>24</v>
      </c>
      <c r="AQ24" s="12" t="s">
        <v>24</v>
      </c>
      <c r="AR24" s="13" t="s">
        <v>24</v>
      </c>
      <c r="AS24" s="12" t="s">
        <v>24</v>
      </c>
      <c r="AT24" s="12" t="s">
        <v>24</v>
      </c>
      <c r="AU24" s="12" t="s">
        <v>24</v>
      </c>
      <c r="AV24" s="12" t="s">
        <v>24</v>
      </c>
      <c r="AW24" s="12" t="s">
        <v>24</v>
      </c>
      <c r="AX24" s="12" t="s">
        <v>24</v>
      </c>
      <c r="AY24" s="12" t="s">
        <v>24</v>
      </c>
      <c r="AZ24" s="12" t="s">
        <v>24</v>
      </c>
      <c r="BA24" s="12" t="s">
        <v>24</v>
      </c>
      <c r="BB24" s="12" t="s">
        <v>24</v>
      </c>
      <c r="BC24" s="12" t="s">
        <v>24</v>
      </c>
      <c r="BD24" s="12" t="s">
        <v>24</v>
      </c>
      <c r="BE24" s="12" t="s">
        <v>24</v>
      </c>
      <c r="BF24" s="12" t="s">
        <v>24</v>
      </c>
      <c r="BG24" s="12" t="s">
        <v>24</v>
      </c>
      <c r="BH24" s="12" t="s">
        <v>24</v>
      </c>
      <c r="BI24" s="12" t="s">
        <v>24</v>
      </c>
      <c r="BJ24" s="12" t="s">
        <v>24</v>
      </c>
      <c r="BK24" s="12" t="s">
        <v>24</v>
      </c>
      <c r="BL24" s="12" t="s">
        <v>24</v>
      </c>
      <c r="BM24" s="12" t="s">
        <v>24</v>
      </c>
      <c r="BN24" s="12" t="s">
        <v>24</v>
      </c>
      <c r="BO24" s="13" t="s">
        <v>24</v>
      </c>
      <c r="BP24" s="12" t="s">
        <v>24</v>
      </c>
      <c r="BQ24" s="12" t="s">
        <v>24</v>
      </c>
      <c r="BR24" s="12" t="s">
        <v>24</v>
      </c>
      <c r="BS24" s="12" t="s">
        <v>24</v>
      </c>
      <c r="BT24" s="12" t="s">
        <v>24</v>
      </c>
      <c r="BU24" s="17">
        <f t="shared" si="0"/>
        <v>0</v>
      </c>
      <c r="BV24" s="17" cm="1">
        <f t="array" ref="BV24">SUM(COUNTIF(D24:BT24,{"A";"AT"}))</f>
        <v>69</v>
      </c>
      <c r="BW24" s="17">
        <f t="shared" si="1"/>
        <v>0</v>
      </c>
      <c r="BX24" s="17">
        <f t="shared" si="2"/>
        <v>0</v>
      </c>
      <c r="BY24" s="18">
        <f t="shared" si="3"/>
        <v>69</v>
      </c>
    </row>
    <row r="25" spans="1:77" ht="20.25" customHeight="1" thickBot="1" x14ac:dyDescent="0.25">
      <c r="A25" s="1">
        <v>15</v>
      </c>
      <c r="B25" s="94"/>
      <c r="C25" s="95"/>
      <c r="D25" s="11" t="s">
        <v>24</v>
      </c>
      <c r="E25" s="12" t="s">
        <v>24</v>
      </c>
      <c r="F25" s="12" t="s">
        <v>24</v>
      </c>
      <c r="G25" s="12" t="s">
        <v>24</v>
      </c>
      <c r="H25" s="12" t="s">
        <v>24</v>
      </c>
      <c r="I25" s="12" t="s">
        <v>24</v>
      </c>
      <c r="J25" s="12" t="s">
        <v>24</v>
      </c>
      <c r="K25" s="12" t="s">
        <v>24</v>
      </c>
      <c r="L25" s="12" t="s">
        <v>24</v>
      </c>
      <c r="M25" s="12" t="s">
        <v>24</v>
      </c>
      <c r="N25" s="12" t="s">
        <v>24</v>
      </c>
      <c r="O25" s="12" t="s">
        <v>24</v>
      </c>
      <c r="P25" s="12" t="s">
        <v>24</v>
      </c>
      <c r="Q25" s="12" t="s">
        <v>24</v>
      </c>
      <c r="R25" s="12" t="s">
        <v>24</v>
      </c>
      <c r="S25" s="12" t="s">
        <v>24</v>
      </c>
      <c r="T25" s="12" t="s">
        <v>24</v>
      </c>
      <c r="U25" s="12" t="s">
        <v>24</v>
      </c>
      <c r="V25" s="13" t="s">
        <v>24</v>
      </c>
      <c r="W25" s="12" t="s">
        <v>24</v>
      </c>
      <c r="X25" s="12" t="s">
        <v>24</v>
      </c>
      <c r="Y25" s="12" t="s">
        <v>24</v>
      </c>
      <c r="Z25" s="12" t="s">
        <v>24</v>
      </c>
      <c r="AA25" s="12" t="s">
        <v>24</v>
      </c>
      <c r="AB25" s="12" t="s">
        <v>24</v>
      </c>
      <c r="AC25" s="12" t="s">
        <v>24</v>
      </c>
      <c r="AD25" s="12" t="s">
        <v>24</v>
      </c>
      <c r="AE25" s="12" t="s">
        <v>24</v>
      </c>
      <c r="AF25" s="12" t="s">
        <v>24</v>
      </c>
      <c r="AG25" s="12" t="s">
        <v>24</v>
      </c>
      <c r="AH25" s="12" t="s">
        <v>24</v>
      </c>
      <c r="AI25" s="12" t="s">
        <v>24</v>
      </c>
      <c r="AJ25" s="12" t="s">
        <v>24</v>
      </c>
      <c r="AK25" s="12" t="s">
        <v>24</v>
      </c>
      <c r="AL25" s="12" t="s">
        <v>24</v>
      </c>
      <c r="AM25" s="12" t="s">
        <v>24</v>
      </c>
      <c r="AN25" s="12" t="s">
        <v>24</v>
      </c>
      <c r="AO25" s="12" t="s">
        <v>24</v>
      </c>
      <c r="AP25" s="12" t="s">
        <v>24</v>
      </c>
      <c r="AQ25" s="12" t="s">
        <v>24</v>
      </c>
      <c r="AR25" s="13" t="s">
        <v>24</v>
      </c>
      <c r="AS25" s="12" t="s">
        <v>24</v>
      </c>
      <c r="AT25" s="12" t="s">
        <v>24</v>
      </c>
      <c r="AU25" s="12" t="s">
        <v>24</v>
      </c>
      <c r="AV25" s="12" t="s">
        <v>24</v>
      </c>
      <c r="AW25" s="12" t="s">
        <v>24</v>
      </c>
      <c r="AX25" s="12" t="s">
        <v>24</v>
      </c>
      <c r="AY25" s="12" t="s">
        <v>24</v>
      </c>
      <c r="AZ25" s="12" t="s">
        <v>24</v>
      </c>
      <c r="BA25" s="12" t="s">
        <v>24</v>
      </c>
      <c r="BB25" s="12" t="s">
        <v>24</v>
      </c>
      <c r="BC25" s="12" t="s">
        <v>24</v>
      </c>
      <c r="BD25" s="12" t="s">
        <v>24</v>
      </c>
      <c r="BE25" s="12" t="s">
        <v>24</v>
      </c>
      <c r="BF25" s="12" t="s">
        <v>24</v>
      </c>
      <c r="BG25" s="12" t="s">
        <v>24</v>
      </c>
      <c r="BH25" s="12" t="s">
        <v>24</v>
      </c>
      <c r="BI25" s="12" t="s">
        <v>24</v>
      </c>
      <c r="BJ25" s="12" t="s">
        <v>24</v>
      </c>
      <c r="BK25" s="12" t="s">
        <v>24</v>
      </c>
      <c r="BL25" s="12" t="s">
        <v>24</v>
      </c>
      <c r="BM25" s="12" t="s">
        <v>24</v>
      </c>
      <c r="BN25" s="12" t="s">
        <v>24</v>
      </c>
      <c r="BO25" s="13" t="s">
        <v>24</v>
      </c>
      <c r="BP25" s="12" t="s">
        <v>24</v>
      </c>
      <c r="BQ25" s="12" t="s">
        <v>24</v>
      </c>
      <c r="BR25" s="12" t="s">
        <v>24</v>
      </c>
      <c r="BS25" s="12" t="s">
        <v>24</v>
      </c>
      <c r="BT25" s="12" t="s">
        <v>24</v>
      </c>
      <c r="BU25" s="17">
        <f t="shared" si="0"/>
        <v>0</v>
      </c>
      <c r="BV25" s="17" cm="1">
        <f t="array" ref="BV25">SUM(COUNTIF(D25:BT25,{"A";"AT"}))</f>
        <v>69</v>
      </c>
      <c r="BW25" s="17">
        <f t="shared" si="1"/>
        <v>0</v>
      </c>
      <c r="BX25" s="17">
        <f t="shared" si="2"/>
        <v>0</v>
      </c>
      <c r="BY25" s="18">
        <f t="shared" si="3"/>
        <v>69</v>
      </c>
    </row>
    <row r="26" spans="1:77" ht="20.25" customHeight="1" thickBot="1" x14ac:dyDescent="0.25">
      <c r="A26" s="1">
        <v>16</v>
      </c>
      <c r="B26" s="94"/>
      <c r="C26" s="95"/>
      <c r="D26" s="11" t="s">
        <v>24</v>
      </c>
      <c r="E26" s="12" t="s">
        <v>24</v>
      </c>
      <c r="F26" s="12" t="s">
        <v>24</v>
      </c>
      <c r="G26" s="12" t="s">
        <v>24</v>
      </c>
      <c r="H26" s="12" t="s">
        <v>24</v>
      </c>
      <c r="I26" s="12" t="s">
        <v>24</v>
      </c>
      <c r="J26" s="12" t="s">
        <v>24</v>
      </c>
      <c r="K26" s="12" t="s">
        <v>24</v>
      </c>
      <c r="L26" s="12" t="s">
        <v>24</v>
      </c>
      <c r="M26" s="12" t="s">
        <v>24</v>
      </c>
      <c r="N26" s="12" t="s">
        <v>24</v>
      </c>
      <c r="O26" s="12" t="s">
        <v>24</v>
      </c>
      <c r="P26" s="12" t="s">
        <v>24</v>
      </c>
      <c r="Q26" s="12" t="s">
        <v>24</v>
      </c>
      <c r="R26" s="12" t="s">
        <v>24</v>
      </c>
      <c r="S26" s="12" t="s">
        <v>24</v>
      </c>
      <c r="T26" s="12" t="s">
        <v>24</v>
      </c>
      <c r="U26" s="12" t="s">
        <v>24</v>
      </c>
      <c r="V26" s="13" t="s">
        <v>24</v>
      </c>
      <c r="W26" s="12" t="s">
        <v>24</v>
      </c>
      <c r="X26" s="12" t="s">
        <v>24</v>
      </c>
      <c r="Y26" s="12" t="s">
        <v>24</v>
      </c>
      <c r="Z26" s="12" t="s">
        <v>24</v>
      </c>
      <c r="AA26" s="12" t="s">
        <v>24</v>
      </c>
      <c r="AB26" s="12" t="s">
        <v>24</v>
      </c>
      <c r="AC26" s="12" t="s">
        <v>24</v>
      </c>
      <c r="AD26" s="12" t="s">
        <v>24</v>
      </c>
      <c r="AE26" s="12" t="s">
        <v>24</v>
      </c>
      <c r="AF26" s="12" t="s">
        <v>24</v>
      </c>
      <c r="AG26" s="12" t="s">
        <v>24</v>
      </c>
      <c r="AH26" s="12" t="s">
        <v>24</v>
      </c>
      <c r="AI26" s="12" t="s">
        <v>24</v>
      </c>
      <c r="AJ26" s="12" t="s">
        <v>24</v>
      </c>
      <c r="AK26" s="12" t="s">
        <v>24</v>
      </c>
      <c r="AL26" s="12" t="s">
        <v>24</v>
      </c>
      <c r="AM26" s="12" t="s">
        <v>24</v>
      </c>
      <c r="AN26" s="12" t="s">
        <v>24</v>
      </c>
      <c r="AO26" s="12" t="s">
        <v>24</v>
      </c>
      <c r="AP26" s="12" t="s">
        <v>24</v>
      </c>
      <c r="AQ26" s="12" t="s">
        <v>24</v>
      </c>
      <c r="AR26" s="13" t="s">
        <v>24</v>
      </c>
      <c r="AS26" s="12" t="s">
        <v>24</v>
      </c>
      <c r="AT26" s="12" t="s">
        <v>24</v>
      </c>
      <c r="AU26" s="12" t="s">
        <v>24</v>
      </c>
      <c r="AV26" s="12" t="s">
        <v>24</v>
      </c>
      <c r="AW26" s="12" t="s">
        <v>24</v>
      </c>
      <c r="AX26" s="12" t="s">
        <v>24</v>
      </c>
      <c r="AY26" s="12" t="s">
        <v>24</v>
      </c>
      <c r="AZ26" s="12" t="s">
        <v>24</v>
      </c>
      <c r="BA26" s="12" t="s">
        <v>24</v>
      </c>
      <c r="BB26" s="12" t="s">
        <v>24</v>
      </c>
      <c r="BC26" s="12" t="s">
        <v>24</v>
      </c>
      <c r="BD26" s="12" t="s">
        <v>24</v>
      </c>
      <c r="BE26" s="12" t="s">
        <v>24</v>
      </c>
      <c r="BF26" s="12" t="s">
        <v>24</v>
      </c>
      <c r="BG26" s="12" t="s">
        <v>24</v>
      </c>
      <c r="BH26" s="12" t="s">
        <v>24</v>
      </c>
      <c r="BI26" s="12" t="s">
        <v>24</v>
      </c>
      <c r="BJ26" s="12" t="s">
        <v>24</v>
      </c>
      <c r="BK26" s="12" t="s">
        <v>24</v>
      </c>
      <c r="BL26" s="12" t="s">
        <v>24</v>
      </c>
      <c r="BM26" s="12" t="s">
        <v>24</v>
      </c>
      <c r="BN26" s="12" t="s">
        <v>24</v>
      </c>
      <c r="BO26" s="13" t="s">
        <v>24</v>
      </c>
      <c r="BP26" s="12" t="s">
        <v>24</v>
      </c>
      <c r="BQ26" s="12" t="s">
        <v>24</v>
      </c>
      <c r="BR26" s="12" t="s">
        <v>24</v>
      </c>
      <c r="BS26" s="12" t="s">
        <v>24</v>
      </c>
      <c r="BT26" s="12" t="s">
        <v>24</v>
      </c>
      <c r="BU26" s="17">
        <f t="shared" si="0"/>
        <v>0</v>
      </c>
      <c r="BV26" s="17" cm="1">
        <f t="array" ref="BV26">SUM(COUNTIF(D26:BT26,{"A";"AT"}))</f>
        <v>69</v>
      </c>
      <c r="BW26" s="17">
        <f t="shared" si="1"/>
        <v>0</v>
      </c>
      <c r="BX26" s="17">
        <f t="shared" si="2"/>
        <v>0</v>
      </c>
      <c r="BY26" s="18">
        <f t="shared" si="3"/>
        <v>69</v>
      </c>
    </row>
    <row r="27" spans="1:77" ht="20.25" customHeight="1" thickBot="1" x14ac:dyDescent="0.25">
      <c r="A27" s="1">
        <v>17</v>
      </c>
      <c r="B27" s="94"/>
      <c r="C27" s="95"/>
      <c r="D27" s="11" t="s">
        <v>24</v>
      </c>
      <c r="E27" s="12" t="s">
        <v>24</v>
      </c>
      <c r="F27" s="12" t="s">
        <v>24</v>
      </c>
      <c r="G27" s="12" t="s">
        <v>24</v>
      </c>
      <c r="H27" s="12" t="s">
        <v>24</v>
      </c>
      <c r="I27" s="12" t="s">
        <v>24</v>
      </c>
      <c r="J27" s="12" t="s">
        <v>24</v>
      </c>
      <c r="K27" s="12" t="s">
        <v>24</v>
      </c>
      <c r="L27" s="12" t="s">
        <v>24</v>
      </c>
      <c r="M27" s="12" t="s">
        <v>24</v>
      </c>
      <c r="N27" s="12" t="s">
        <v>24</v>
      </c>
      <c r="O27" s="12" t="s">
        <v>24</v>
      </c>
      <c r="P27" s="12" t="s">
        <v>24</v>
      </c>
      <c r="Q27" s="12" t="s">
        <v>24</v>
      </c>
      <c r="R27" s="12" t="s">
        <v>24</v>
      </c>
      <c r="S27" s="12" t="s">
        <v>24</v>
      </c>
      <c r="T27" s="12" t="s">
        <v>24</v>
      </c>
      <c r="U27" s="12" t="s">
        <v>24</v>
      </c>
      <c r="V27" s="13" t="s">
        <v>24</v>
      </c>
      <c r="W27" s="12" t="s">
        <v>24</v>
      </c>
      <c r="X27" s="12" t="s">
        <v>24</v>
      </c>
      <c r="Y27" s="12" t="s">
        <v>24</v>
      </c>
      <c r="Z27" s="12" t="s">
        <v>24</v>
      </c>
      <c r="AA27" s="12" t="s">
        <v>24</v>
      </c>
      <c r="AB27" s="12" t="s">
        <v>24</v>
      </c>
      <c r="AC27" s="12" t="s">
        <v>24</v>
      </c>
      <c r="AD27" s="12" t="s">
        <v>24</v>
      </c>
      <c r="AE27" s="12" t="s">
        <v>24</v>
      </c>
      <c r="AF27" s="12" t="s">
        <v>24</v>
      </c>
      <c r="AG27" s="12" t="s">
        <v>24</v>
      </c>
      <c r="AH27" s="12" t="s">
        <v>24</v>
      </c>
      <c r="AI27" s="12" t="s">
        <v>24</v>
      </c>
      <c r="AJ27" s="12" t="s">
        <v>24</v>
      </c>
      <c r="AK27" s="12" t="s">
        <v>24</v>
      </c>
      <c r="AL27" s="12" t="s">
        <v>24</v>
      </c>
      <c r="AM27" s="12" t="s">
        <v>24</v>
      </c>
      <c r="AN27" s="12" t="s">
        <v>24</v>
      </c>
      <c r="AO27" s="12" t="s">
        <v>24</v>
      </c>
      <c r="AP27" s="12" t="s">
        <v>24</v>
      </c>
      <c r="AQ27" s="12" t="s">
        <v>24</v>
      </c>
      <c r="AR27" s="13" t="s">
        <v>24</v>
      </c>
      <c r="AS27" s="12" t="s">
        <v>24</v>
      </c>
      <c r="AT27" s="12" t="s">
        <v>24</v>
      </c>
      <c r="AU27" s="12" t="s">
        <v>24</v>
      </c>
      <c r="AV27" s="12" t="s">
        <v>24</v>
      </c>
      <c r="AW27" s="12" t="s">
        <v>24</v>
      </c>
      <c r="AX27" s="12" t="s">
        <v>24</v>
      </c>
      <c r="AY27" s="12" t="s">
        <v>24</v>
      </c>
      <c r="AZ27" s="12" t="s">
        <v>24</v>
      </c>
      <c r="BA27" s="12" t="s">
        <v>24</v>
      </c>
      <c r="BB27" s="12" t="s">
        <v>24</v>
      </c>
      <c r="BC27" s="12" t="s">
        <v>24</v>
      </c>
      <c r="BD27" s="12" t="s">
        <v>24</v>
      </c>
      <c r="BE27" s="12" t="s">
        <v>24</v>
      </c>
      <c r="BF27" s="12" t="s">
        <v>24</v>
      </c>
      <c r="BG27" s="12" t="s">
        <v>24</v>
      </c>
      <c r="BH27" s="12" t="s">
        <v>24</v>
      </c>
      <c r="BI27" s="12" t="s">
        <v>24</v>
      </c>
      <c r="BJ27" s="12" t="s">
        <v>24</v>
      </c>
      <c r="BK27" s="12" t="s">
        <v>24</v>
      </c>
      <c r="BL27" s="12" t="s">
        <v>24</v>
      </c>
      <c r="BM27" s="12" t="s">
        <v>24</v>
      </c>
      <c r="BN27" s="12" t="s">
        <v>24</v>
      </c>
      <c r="BO27" s="13" t="s">
        <v>24</v>
      </c>
      <c r="BP27" s="12" t="s">
        <v>24</v>
      </c>
      <c r="BQ27" s="12" t="s">
        <v>24</v>
      </c>
      <c r="BR27" s="12" t="s">
        <v>24</v>
      </c>
      <c r="BS27" s="12" t="s">
        <v>24</v>
      </c>
      <c r="BT27" s="12" t="s">
        <v>24</v>
      </c>
      <c r="BU27" s="17">
        <f t="shared" si="0"/>
        <v>0</v>
      </c>
      <c r="BV27" s="17" cm="1">
        <f t="array" ref="BV27">SUM(COUNTIF(D27:BT27,{"A";"AT"}))</f>
        <v>69</v>
      </c>
      <c r="BW27" s="17">
        <f t="shared" si="1"/>
        <v>0</v>
      </c>
      <c r="BX27" s="17">
        <f t="shared" si="2"/>
        <v>0</v>
      </c>
      <c r="BY27" s="18">
        <f t="shared" si="3"/>
        <v>69</v>
      </c>
    </row>
    <row r="28" spans="1:77" ht="20.25" customHeight="1" thickBot="1" x14ac:dyDescent="0.25">
      <c r="A28" s="1">
        <v>18</v>
      </c>
      <c r="B28" s="94"/>
      <c r="C28" s="95"/>
      <c r="D28" s="11" t="s">
        <v>24</v>
      </c>
      <c r="E28" s="12" t="s">
        <v>24</v>
      </c>
      <c r="F28" s="12" t="s">
        <v>24</v>
      </c>
      <c r="G28" s="12" t="s">
        <v>24</v>
      </c>
      <c r="H28" s="12" t="s">
        <v>24</v>
      </c>
      <c r="I28" s="12" t="s">
        <v>24</v>
      </c>
      <c r="J28" s="12" t="s">
        <v>24</v>
      </c>
      <c r="K28" s="12" t="s">
        <v>24</v>
      </c>
      <c r="L28" s="12" t="s">
        <v>24</v>
      </c>
      <c r="M28" s="12" t="s">
        <v>24</v>
      </c>
      <c r="N28" s="12" t="s">
        <v>24</v>
      </c>
      <c r="O28" s="12" t="s">
        <v>24</v>
      </c>
      <c r="P28" s="12" t="s">
        <v>24</v>
      </c>
      <c r="Q28" s="12" t="s">
        <v>24</v>
      </c>
      <c r="R28" s="12" t="s">
        <v>24</v>
      </c>
      <c r="S28" s="12" t="s">
        <v>24</v>
      </c>
      <c r="T28" s="12" t="s">
        <v>24</v>
      </c>
      <c r="U28" s="12" t="s">
        <v>24</v>
      </c>
      <c r="V28" s="13" t="s">
        <v>24</v>
      </c>
      <c r="W28" s="12" t="s">
        <v>24</v>
      </c>
      <c r="X28" s="12" t="s">
        <v>24</v>
      </c>
      <c r="Y28" s="12" t="s">
        <v>24</v>
      </c>
      <c r="Z28" s="12" t="s">
        <v>24</v>
      </c>
      <c r="AA28" s="12" t="s">
        <v>24</v>
      </c>
      <c r="AB28" s="12" t="s">
        <v>24</v>
      </c>
      <c r="AC28" s="12" t="s">
        <v>24</v>
      </c>
      <c r="AD28" s="12" t="s">
        <v>24</v>
      </c>
      <c r="AE28" s="12" t="s">
        <v>24</v>
      </c>
      <c r="AF28" s="12" t="s">
        <v>24</v>
      </c>
      <c r="AG28" s="12" t="s">
        <v>24</v>
      </c>
      <c r="AH28" s="12" t="s">
        <v>24</v>
      </c>
      <c r="AI28" s="12" t="s">
        <v>24</v>
      </c>
      <c r="AJ28" s="12" t="s">
        <v>24</v>
      </c>
      <c r="AK28" s="12" t="s">
        <v>24</v>
      </c>
      <c r="AL28" s="12" t="s">
        <v>24</v>
      </c>
      <c r="AM28" s="12" t="s">
        <v>24</v>
      </c>
      <c r="AN28" s="12" t="s">
        <v>24</v>
      </c>
      <c r="AO28" s="12" t="s">
        <v>24</v>
      </c>
      <c r="AP28" s="12" t="s">
        <v>24</v>
      </c>
      <c r="AQ28" s="12" t="s">
        <v>24</v>
      </c>
      <c r="AR28" s="13" t="s">
        <v>24</v>
      </c>
      <c r="AS28" s="12" t="s">
        <v>24</v>
      </c>
      <c r="AT28" s="12" t="s">
        <v>24</v>
      </c>
      <c r="AU28" s="12" t="s">
        <v>24</v>
      </c>
      <c r="AV28" s="12" t="s">
        <v>24</v>
      </c>
      <c r="AW28" s="12" t="s">
        <v>24</v>
      </c>
      <c r="AX28" s="12" t="s">
        <v>24</v>
      </c>
      <c r="AY28" s="12" t="s">
        <v>24</v>
      </c>
      <c r="AZ28" s="12" t="s">
        <v>24</v>
      </c>
      <c r="BA28" s="12" t="s">
        <v>24</v>
      </c>
      <c r="BB28" s="12" t="s">
        <v>24</v>
      </c>
      <c r="BC28" s="12" t="s">
        <v>24</v>
      </c>
      <c r="BD28" s="12" t="s">
        <v>24</v>
      </c>
      <c r="BE28" s="12" t="s">
        <v>24</v>
      </c>
      <c r="BF28" s="12" t="s">
        <v>24</v>
      </c>
      <c r="BG28" s="12" t="s">
        <v>24</v>
      </c>
      <c r="BH28" s="12" t="s">
        <v>24</v>
      </c>
      <c r="BI28" s="12" t="s">
        <v>24</v>
      </c>
      <c r="BJ28" s="12" t="s">
        <v>24</v>
      </c>
      <c r="BK28" s="12" t="s">
        <v>24</v>
      </c>
      <c r="BL28" s="12" t="s">
        <v>24</v>
      </c>
      <c r="BM28" s="12" t="s">
        <v>24</v>
      </c>
      <c r="BN28" s="12" t="s">
        <v>24</v>
      </c>
      <c r="BO28" s="13" t="s">
        <v>24</v>
      </c>
      <c r="BP28" s="12" t="s">
        <v>24</v>
      </c>
      <c r="BQ28" s="12" t="s">
        <v>24</v>
      </c>
      <c r="BR28" s="12" t="s">
        <v>24</v>
      </c>
      <c r="BS28" s="12" t="s">
        <v>24</v>
      </c>
      <c r="BT28" s="12" t="s">
        <v>24</v>
      </c>
      <c r="BU28" s="17">
        <f t="shared" si="0"/>
        <v>0</v>
      </c>
      <c r="BV28" s="17" cm="1">
        <f t="array" ref="BV28">SUM(COUNTIF(D28:BT28,{"A";"AT"}))</f>
        <v>69</v>
      </c>
      <c r="BW28" s="17">
        <f t="shared" si="1"/>
        <v>0</v>
      </c>
      <c r="BX28" s="17">
        <f t="shared" si="2"/>
        <v>0</v>
      </c>
      <c r="BY28" s="18">
        <f t="shared" si="3"/>
        <v>69</v>
      </c>
    </row>
    <row r="29" spans="1:77" ht="20.25" customHeight="1" thickBot="1" x14ac:dyDescent="0.25">
      <c r="A29" s="1">
        <v>19</v>
      </c>
      <c r="B29" s="94"/>
      <c r="C29" s="95"/>
      <c r="D29" s="11" t="s">
        <v>24</v>
      </c>
      <c r="E29" s="12" t="s">
        <v>24</v>
      </c>
      <c r="F29" s="12" t="s">
        <v>24</v>
      </c>
      <c r="G29" s="12" t="s">
        <v>24</v>
      </c>
      <c r="H29" s="12" t="s">
        <v>24</v>
      </c>
      <c r="I29" s="12" t="s">
        <v>24</v>
      </c>
      <c r="J29" s="12" t="s">
        <v>24</v>
      </c>
      <c r="K29" s="12" t="s">
        <v>24</v>
      </c>
      <c r="L29" s="12" t="s">
        <v>24</v>
      </c>
      <c r="M29" s="12" t="s">
        <v>24</v>
      </c>
      <c r="N29" s="12" t="s">
        <v>24</v>
      </c>
      <c r="O29" s="12" t="s">
        <v>24</v>
      </c>
      <c r="P29" s="12" t="s">
        <v>24</v>
      </c>
      <c r="Q29" s="12" t="s">
        <v>24</v>
      </c>
      <c r="R29" s="12" t="s">
        <v>24</v>
      </c>
      <c r="S29" s="12" t="s">
        <v>24</v>
      </c>
      <c r="T29" s="12" t="s">
        <v>24</v>
      </c>
      <c r="U29" s="12" t="s">
        <v>24</v>
      </c>
      <c r="V29" s="13" t="s">
        <v>24</v>
      </c>
      <c r="W29" s="12" t="s">
        <v>24</v>
      </c>
      <c r="X29" s="12" t="s">
        <v>24</v>
      </c>
      <c r="Y29" s="12" t="s">
        <v>24</v>
      </c>
      <c r="Z29" s="12" t="s">
        <v>24</v>
      </c>
      <c r="AA29" s="12" t="s">
        <v>24</v>
      </c>
      <c r="AB29" s="12" t="s">
        <v>24</v>
      </c>
      <c r="AC29" s="12" t="s">
        <v>24</v>
      </c>
      <c r="AD29" s="12" t="s">
        <v>24</v>
      </c>
      <c r="AE29" s="12" t="s">
        <v>24</v>
      </c>
      <c r="AF29" s="12" t="s">
        <v>24</v>
      </c>
      <c r="AG29" s="12" t="s">
        <v>24</v>
      </c>
      <c r="AH29" s="12" t="s">
        <v>24</v>
      </c>
      <c r="AI29" s="12" t="s">
        <v>24</v>
      </c>
      <c r="AJ29" s="12" t="s">
        <v>24</v>
      </c>
      <c r="AK29" s="12" t="s">
        <v>24</v>
      </c>
      <c r="AL29" s="12" t="s">
        <v>24</v>
      </c>
      <c r="AM29" s="12" t="s">
        <v>24</v>
      </c>
      <c r="AN29" s="12" t="s">
        <v>24</v>
      </c>
      <c r="AO29" s="12" t="s">
        <v>24</v>
      </c>
      <c r="AP29" s="12" t="s">
        <v>24</v>
      </c>
      <c r="AQ29" s="12" t="s">
        <v>24</v>
      </c>
      <c r="AR29" s="13" t="s">
        <v>24</v>
      </c>
      <c r="AS29" s="12" t="s">
        <v>24</v>
      </c>
      <c r="AT29" s="12" t="s">
        <v>24</v>
      </c>
      <c r="AU29" s="12" t="s">
        <v>24</v>
      </c>
      <c r="AV29" s="12" t="s">
        <v>24</v>
      </c>
      <c r="AW29" s="12" t="s">
        <v>24</v>
      </c>
      <c r="AX29" s="12" t="s">
        <v>24</v>
      </c>
      <c r="AY29" s="12" t="s">
        <v>24</v>
      </c>
      <c r="AZ29" s="12" t="s">
        <v>24</v>
      </c>
      <c r="BA29" s="12" t="s">
        <v>24</v>
      </c>
      <c r="BB29" s="12" t="s">
        <v>24</v>
      </c>
      <c r="BC29" s="12" t="s">
        <v>24</v>
      </c>
      <c r="BD29" s="12" t="s">
        <v>24</v>
      </c>
      <c r="BE29" s="12" t="s">
        <v>24</v>
      </c>
      <c r="BF29" s="12" t="s">
        <v>24</v>
      </c>
      <c r="BG29" s="12" t="s">
        <v>24</v>
      </c>
      <c r="BH29" s="12" t="s">
        <v>24</v>
      </c>
      <c r="BI29" s="12" t="s">
        <v>24</v>
      </c>
      <c r="BJ29" s="12" t="s">
        <v>24</v>
      </c>
      <c r="BK29" s="12" t="s">
        <v>24</v>
      </c>
      <c r="BL29" s="12" t="s">
        <v>24</v>
      </c>
      <c r="BM29" s="12" t="s">
        <v>24</v>
      </c>
      <c r="BN29" s="12" t="s">
        <v>24</v>
      </c>
      <c r="BO29" s="13" t="s">
        <v>24</v>
      </c>
      <c r="BP29" s="12" t="s">
        <v>24</v>
      </c>
      <c r="BQ29" s="12" t="s">
        <v>24</v>
      </c>
      <c r="BR29" s="12" t="s">
        <v>24</v>
      </c>
      <c r="BS29" s="12" t="s">
        <v>24</v>
      </c>
      <c r="BT29" s="12" t="s">
        <v>24</v>
      </c>
      <c r="BU29" s="17">
        <f t="shared" si="0"/>
        <v>0</v>
      </c>
      <c r="BV29" s="17" cm="1">
        <f t="array" ref="BV29">SUM(COUNTIF(D29:BT29,{"A";"AT"}))</f>
        <v>69</v>
      </c>
      <c r="BW29" s="17">
        <f t="shared" si="1"/>
        <v>0</v>
      </c>
      <c r="BX29" s="17">
        <f t="shared" si="2"/>
        <v>0</v>
      </c>
      <c r="BY29" s="18">
        <f t="shared" si="3"/>
        <v>69</v>
      </c>
    </row>
    <row r="30" spans="1:77" ht="20.25" customHeight="1" thickBot="1" x14ac:dyDescent="0.25">
      <c r="A30" s="1">
        <v>20</v>
      </c>
      <c r="B30" s="94"/>
      <c r="C30" s="95"/>
      <c r="D30" s="11" t="s">
        <v>24</v>
      </c>
      <c r="E30" s="12" t="s">
        <v>24</v>
      </c>
      <c r="F30" s="12" t="s">
        <v>24</v>
      </c>
      <c r="G30" s="12" t="s">
        <v>24</v>
      </c>
      <c r="H30" s="12" t="s">
        <v>24</v>
      </c>
      <c r="I30" s="12" t="s">
        <v>24</v>
      </c>
      <c r="J30" s="12" t="s">
        <v>24</v>
      </c>
      <c r="K30" s="12" t="s">
        <v>24</v>
      </c>
      <c r="L30" s="12" t="s">
        <v>24</v>
      </c>
      <c r="M30" s="12" t="s">
        <v>24</v>
      </c>
      <c r="N30" s="12" t="s">
        <v>24</v>
      </c>
      <c r="O30" s="12" t="s">
        <v>24</v>
      </c>
      <c r="P30" s="12" t="s">
        <v>24</v>
      </c>
      <c r="Q30" s="12" t="s">
        <v>24</v>
      </c>
      <c r="R30" s="12" t="s">
        <v>24</v>
      </c>
      <c r="S30" s="12" t="s">
        <v>24</v>
      </c>
      <c r="T30" s="12" t="s">
        <v>24</v>
      </c>
      <c r="U30" s="12" t="s">
        <v>24</v>
      </c>
      <c r="V30" s="13" t="s">
        <v>24</v>
      </c>
      <c r="W30" s="12" t="s">
        <v>24</v>
      </c>
      <c r="X30" s="12" t="s">
        <v>24</v>
      </c>
      <c r="Y30" s="12" t="s">
        <v>24</v>
      </c>
      <c r="Z30" s="12" t="s">
        <v>24</v>
      </c>
      <c r="AA30" s="12" t="s">
        <v>24</v>
      </c>
      <c r="AB30" s="12" t="s">
        <v>24</v>
      </c>
      <c r="AC30" s="12" t="s">
        <v>24</v>
      </c>
      <c r="AD30" s="12" t="s">
        <v>24</v>
      </c>
      <c r="AE30" s="12" t="s">
        <v>24</v>
      </c>
      <c r="AF30" s="12" t="s">
        <v>24</v>
      </c>
      <c r="AG30" s="12" t="s">
        <v>24</v>
      </c>
      <c r="AH30" s="12" t="s">
        <v>24</v>
      </c>
      <c r="AI30" s="12" t="s">
        <v>24</v>
      </c>
      <c r="AJ30" s="12" t="s">
        <v>24</v>
      </c>
      <c r="AK30" s="12" t="s">
        <v>24</v>
      </c>
      <c r="AL30" s="12" t="s">
        <v>24</v>
      </c>
      <c r="AM30" s="12" t="s">
        <v>24</v>
      </c>
      <c r="AN30" s="12" t="s">
        <v>24</v>
      </c>
      <c r="AO30" s="12" t="s">
        <v>24</v>
      </c>
      <c r="AP30" s="12" t="s">
        <v>24</v>
      </c>
      <c r="AQ30" s="12" t="s">
        <v>24</v>
      </c>
      <c r="AR30" s="13" t="s">
        <v>24</v>
      </c>
      <c r="AS30" s="12" t="s">
        <v>24</v>
      </c>
      <c r="AT30" s="12" t="s">
        <v>24</v>
      </c>
      <c r="AU30" s="12" t="s">
        <v>24</v>
      </c>
      <c r="AV30" s="12" t="s">
        <v>24</v>
      </c>
      <c r="AW30" s="12" t="s">
        <v>24</v>
      </c>
      <c r="AX30" s="12" t="s">
        <v>24</v>
      </c>
      <c r="AY30" s="12" t="s">
        <v>24</v>
      </c>
      <c r="AZ30" s="12" t="s">
        <v>24</v>
      </c>
      <c r="BA30" s="12" t="s">
        <v>24</v>
      </c>
      <c r="BB30" s="12" t="s">
        <v>24</v>
      </c>
      <c r="BC30" s="12" t="s">
        <v>24</v>
      </c>
      <c r="BD30" s="12" t="s">
        <v>24</v>
      </c>
      <c r="BE30" s="12" t="s">
        <v>24</v>
      </c>
      <c r="BF30" s="12" t="s">
        <v>24</v>
      </c>
      <c r="BG30" s="12" t="s">
        <v>24</v>
      </c>
      <c r="BH30" s="12" t="s">
        <v>24</v>
      </c>
      <c r="BI30" s="12" t="s">
        <v>24</v>
      </c>
      <c r="BJ30" s="12" t="s">
        <v>24</v>
      </c>
      <c r="BK30" s="12" t="s">
        <v>24</v>
      </c>
      <c r="BL30" s="12" t="s">
        <v>24</v>
      </c>
      <c r="BM30" s="12" t="s">
        <v>24</v>
      </c>
      <c r="BN30" s="12" t="s">
        <v>24</v>
      </c>
      <c r="BO30" s="13" t="s">
        <v>24</v>
      </c>
      <c r="BP30" s="12" t="s">
        <v>24</v>
      </c>
      <c r="BQ30" s="12" t="s">
        <v>24</v>
      </c>
      <c r="BR30" s="12" t="s">
        <v>24</v>
      </c>
      <c r="BS30" s="12" t="s">
        <v>24</v>
      </c>
      <c r="BT30" s="12" t="s">
        <v>24</v>
      </c>
      <c r="BU30" s="17">
        <f t="shared" si="0"/>
        <v>0</v>
      </c>
      <c r="BV30" s="17" cm="1">
        <f t="array" ref="BV30">SUM(COUNTIF(D30:BT30,{"A";"AT"}))</f>
        <v>69</v>
      </c>
      <c r="BW30" s="17">
        <f t="shared" si="1"/>
        <v>0</v>
      </c>
      <c r="BX30" s="17">
        <f t="shared" si="2"/>
        <v>0</v>
      </c>
      <c r="BY30" s="18">
        <f t="shared" si="3"/>
        <v>69</v>
      </c>
    </row>
    <row r="31" spans="1:77" ht="20.25" customHeight="1" thickBot="1" x14ac:dyDescent="0.25">
      <c r="A31" s="1">
        <v>21</v>
      </c>
      <c r="B31" s="94"/>
      <c r="C31" s="95"/>
      <c r="D31" s="11" t="s">
        <v>24</v>
      </c>
      <c r="E31" s="12" t="s">
        <v>24</v>
      </c>
      <c r="F31" s="12" t="s">
        <v>24</v>
      </c>
      <c r="G31" s="12" t="s">
        <v>24</v>
      </c>
      <c r="H31" s="12" t="s">
        <v>24</v>
      </c>
      <c r="I31" s="12" t="s">
        <v>24</v>
      </c>
      <c r="J31" s="12" t="s">
        <v>24</v>
      </c>
      <c r="K31" s="12" t="s">
        <v>24</v>
      </c>
      <c r="L31" s="12" t="s">
        <v>24</v>
      </c>
      <c r="M31" s="12" t="s">
        <v>24</v>
      </c>
      <c r="N31" s="12" t="s">
        <v>24</v>
      </c>
      <c r="O31" s="12" t="s">
        <v>24</v>
      </c>
      <c r="P31" s="12" t="s">
        <v>24</v>
      </c>
      <c r="Q31" s="12" t="s">
        <v>24</v>
      </c>
      <c r="R31" s="12" t="s">
        <v>24</v>
      </c>
      <c r="S31" s="12" t="s">
        <v>24</v>
      </c>
      <c r="T31" s="12" t="s">
        <v>24</v>
      </c>
      <c r="U31" s="12" t="s">
        <v>24</v>
      </c>
      <c r="V31" s="13" t="s">
        <v>24</v>
      </c>
      <c r="W31" s="12" t="s">
        <v>24</v>
      </c>
      <c r="X31" s="12" t="s">
        <v>24</v>
      </c>
      <c r="Y31" s="12" t="s">
        <v>24</v>
      </c>
      <c r="Z31" s="12" t="s">
        <v>24</v>
      </c>
      <c r="AA31" s="12" t="s">
        <v>24</v>
      </c>
      <c r="AB31" s="12" t="s">
        <v>24</v>
      </c>
      <c r="AC31" s="12" t="s">
        <v>24</v>
      </c>
      <c r="AD31" s="12" t="s">
        <v>24</v>
      </c>
      <c r="AE31" s="12" t="s">
        <v>24</v>
      </c>
      <c r="AF31" s="12" t="s">
        <v>24</v>
      </c>
      <c r="AG31" s="12" t="s">
        <v>24</v>
      </c>
      <c r="AH31" s="12" t="s">
        <v>24</v>
      </c>
      <c r="AI31" s="12" t="s">
        <v>24</v>
      </c>
      <c r="AJ31" s="12" t="s">
        <v>24</v>
      </c>
      <c r="AK31" s="12" t="s">
        <v>24</v>
      </c>
      <c r="AL31" s="12" t="s">
        <v>24</v>
      </c>
      <c r="AM31" s="12" t="s">
        <v>24</v>
      </c>
      <c r="AN31" s="12" t="s">
        <v>24</v>
      </c>
      <c r="AO31" s="12" t="s">
        <v>24</v>
      </c>
      <c r="AP31" s="12" t="s">
        <v>24</v>
      </c>
      <c r="AQ31" s="12" t="s">
        <v>24</v>
      </c>
      <c r="AR31" s="13" t="s">
        <v>24</v>
      </c>
      <c r="AS31" s="12" t="s">
        <v>24</v>
      </c>
      <c r="AT31" s="12" t="s">
        <v>24</v>
      </c>
      <c r="AU31" s="12" t="s">
        <v>24</v>
      </c>
      <c r="AV31" s="12" t="s">
        <v>24</v>
      </c>
      <c r="AW31" s="12" t="s">
        <v>24</v>
      </c>
      <c r="AX31" s="12" t="s">
        <v>24</v>
      </c>
      <c r="AY31" s="12" t="s">
        <v>24</v>
      </c>
      <c r="AZ31" s="12" t="s">
        <v>24</v>
      </c>
      <c r="BA31" s="12" t="s">
        <v>24</v>
      </c>
      <c r="BB31" s="12" t="s">
        <v>24</v>
      </c>
      <c r="BC31" s="12" t="s">
        <v>24</v>
      </c>
      <c r="BD31" s="12" t="s">
        <v>24</v>
      </c>
      <c r="BE31" s="12" t="s">
        <v>24</v>
      </c>
      <c r="BF31" s="12" t="s">
        <v>24</v>
      </c>
      <c r="BG31" s="12" t="s">
        <v>24</v>
      </c>
      <c r="BH31" s="12" t="s">
        <v>24</v>
      </c>
      <c r="BI31" s="12" t="s">
        <v>24</v>
      </c>
      <c r="BJ31" s="12" t="s">
        <v>24</v>
      </c>
      <c r="BK31" s="12" t="s">
        <v>24</v>
      </c>
      <c r="BL31" s="12" t="s">
        <v>24</v>
      </c>
      <c r="BM31" s="12" t="s">
        <v>24</v>
      </c>
      <c r="BN31" s="12" t="s">
        <v>24</v>
      </c>
      <c r="BO31" s="13" t="s">
        <v>24</v>
      </c>
      <c r="BP31" s="12" t="s">
        <v>24</v>
      </c>
      <c r="BQ31" s="12" t="s">
        <v>24</v>
      </c>
      <c r="BR31" s="12" t="s">
        <v>24</v>
      </c>
      <c r="BS31" s="12" t="s">
        <v>24</v>
      </c>
      <c r="BT31" s="12" t="s">
        <v>24</v>
      </c>
      <c r="BU31" s="17">
        <f t="shared" si="0"/>
        <v>0</v>
      </c>
      <c r="BV31" s="17" cm="1">
        <f t="array" ref="BV31">SUM(COUNTIF(D31:BT31,{"A";"AT"}))</f>
        <v>69</v>
      </c>
      <c r="BW31" s="17">
        <f t="shared" si="1"/>
        <v>0</v>
      </c>
      <c r="BX31" s="17">
        <f t="shared" si="2"/>
        <v>0</v>
      </c>
      <c r="BY31" s="18">
        <f t="shared" si="3"/>
        <v>69</v>
      </c>
    </row>
    <row r="32" spans="1:77" ht="20.25" customHeight="1" thickBot="1" x14ac:dyDescent="0.25">
      <c r="A32" s="1">
        <v>22</v>
      </c>
      <c r="B32" s="94"/>
      <c r="C32" s="95"/>
      <c r="D32" s="11" t="s">
        <v>24</v>
      </c>
      <c r="E32" s="12" t="s">
        <v>24</v>
      </c>
      <c r="F32" s="12" t="s">
        <v>24</v>
      </c>
      <c r="G32" s="12" t="s">
        <v>24</v>
      </c>
      <c r="H32" s="12" t="s">
        <v>24</v>
      </c>
      <c r="I32" s="12" t="s">
        <v>24</v>
      </c>
      <c r="J32" s="12" t="s">
        <v>24</v>
      </c>
      <c r="K32" s="12" t="s">
        <v>24</v>
      </c>
      <c r="L32" s="12" t="s">
        <v>24</v>
      </c>
      <c r="M32" s="12" t="s">
        <v>24</v>
      </c>
      <c r="N32" s="12" t="s">
        <v>24</v>
      </c>
      <c r="O32" s="12" t="s">
        <v>24</v>
      </c>
      <c r="P32" s="12" t="s">
        <v>24</v>
      </c>
      <c r="Q32" s="12" t="s">
        <v>24</v>
      </c>
      <c r="R32" s="12" t="s">
        <v>24</v>
      </c>
      <c r="S32" s="12" t="s">
        <v>24</v>
      </c>
      <c r="T32" s="12" t="s">
        <v>24</v>
      </c>
      <c r="U32" s="12" t="s">
        <v>24</v>
      </c>
      <c r="V32" s="13" t="s">
        <v>24</v>
      </c>
      <c r="W32" s="12" t="s">
        <v>24</v>
      </c>
      <c r="X32" s="12" t="s">
        <v>24</v>
      </c>
      <c r="Y32" s="12" t="s">
        <v>24</v>
      </c>
      <c r="Z32" s="12" t="s">
        <v>24</v>
      </c>
      <c r="AA32" s="12" t="s">
        <v>24</v>
      </c>
      <c r="AB32" s="12" t="s">
        <v>24</v>
      </c>
      <c r="AC32" s="12" t="s">
        <v>24</v>
      </c>
      <c r="AD32" s="12" t="s">
        <v>24</v>
      </c>
      <c r="AE32" s="12" t="s">
        <v>24</v>
      </c>
      <c r="AF32" s="12" t="s">
        <v>24</v>
      </c>
      <c r="AG32" s="12" t="s">
        <v>24</v>
      </c>
      <c r="AH32" s="12" t="s">
        <v>24</v>
      </c>
      <c r="AI32" s="12" t="s">
        <v>24</v>
      </c>
      <c r="AJ32" s="12" t="s">
        <v>24</v>
      </c>
      <c r="AK32" s="12" t="s">
        <v>24</v>
      </c>
      <c r="AL32" s="12" t="s">
        <v>24</v>
      </c>
      <c r="AM32" s="12" t="s">
        <v>24</v>
      </c>
      <c r="AN32" s="12" t="s">
        <v>24</v>
      </c>
      <c r="AO32" s="12" t="s">
        <v>24</v>
      </c>
      <c r="AP32" s="12" t="s">
        <v>24</v>
      </c>
      <c r="AQ32" s="12" t="s">
        <v>24</v>
      </c>
      <c r="AR32" s="13" t="s">
        <v>24</v>
      </c>
      <c r="AS32" s="12" t="s">
        <v>24</v>
      </c>
      <c r="AT32" s="12" t="s">
        <v>24</v>
      </c>
      <c r="AU32" s="12" t="s">
        <v>24</v>
      </c>
      <c r="AV32" s="12" t="s">
        <v>24</v>
      </c>
      <c r="AW32" s="12" t="s">
        <v>24</v>
      </c>
      <c r="AX32" s="12" t="s">
        <v>24</v>
      </c>
      <c r="AY32" s="12" t="s">
        <v>24</v>
      </c>
      <c r="AZ32" s="12" t="s">
        <v>24</v>
      </c>
      <c r="BA32" s="12" t="s">
        <v>24</v>
      </c>
      <c r="BB32" s="12" t="s">
        <v>24</v>
      </c>
      <c r="BC32" s="12" t="s">
        <v>24</v>
      </c>
      <c r="BD32" s="12" t="s">
        <v>24</v>
      </c>
      <c r="BE32" s="12" t="s">
        <v>24</v>
      </c>
      <c r="BF32" s="12" t="s">
        <v>24</v>
      </c>
      <c r="BG32" s="12" t="s">
        <v>24</v>
      </c>
      <c r="BH32" s="12" t="s">
        <v>24</v>
      </c>
      <c r="BI32" s="12" t="s">
        <v>24</v>
      </c>
      <c r="BJ32" s="12" t="s">
        <v>24</v>
      </c>
      <c r="BK32" s="12" t="s">
        <v>24</v>
      </c>
      <c r="BL32" s="12" t="s">
        <v>24</v>
      </c>
      <c r="BM32" s="12" t="s">
        <v>24</v>
      </c>
      <c r="BN32" s="12" t="s">
        <v>24</v>
      </c>
      <c r="BO32" s="13" t="s">
        <v>24</v>
      </c>
      <c r="BP32" s="12" t="s">
        <v>24</v>
      </c>
      <c r="BQ32" s="12" t="s">
        <v>24</v>
      </c>
      <c r="BR32" s="12" t="s">
        <v>24</v>
      </c>
      <c r="BS32" s="12" t="s">
        <v>24</v>
      </c>
      <c r="BT32" s="12" t="s">
        <v>24</v>
      </c>
      <c r="BU32" s="17">
        <f t="shared" si="0"/>
        <v>0</v>
      </c>
      <c r="BV32" s="17" cm="1">
        <f t="array" ref="BV32">SUM(COUNTIF(D32:BT32,{"A";"AT"}))</f>
        <v>69</v>
      </c>
      <c r="BW32" s="17">
        <f t="shared" si="1"/>
        <v>0</v>
      </c>
      <c r="BX32" s="17">
        <f t="shared" si="2"/>
        <v>0</v>
      </c>
      <c r="BY32" s="18">
        <f t="shared" si="3"/>
        <v>69</v>
      </c>
    </row>
    <row r="33" spans="1:81" ht="20.25" customHeight="1" thickBot="1" x14ac:dyDescent="0.25">
      <c r="A33" s="1">
        <v>23</v>
      </c>
      <c r="B33" s="94"/>
      <c r="C33" s="95"/>
      <c r="D33" s="11" t="s">
        <v>24</v>
      </c>
      <c r="E33" s="12" t="s">
        <v>24</v>
      </c>
      <c r="F33" s="12" t="s">
        <v>24</v>
      </c>
      <c r="G33" s="12" t="s">
        <v>24</v>
      </c>
      <c r="H33" s="12" t="s">
        <v>24</v>
      </c>
      <c r="I33" s="12" t="s">
        <v>24</v>
      </c>
      <c r="J33" s="12" t="s">
        <v>24</v>
      </c>
      <c r="K33" s="12" t="s">
        <v>24</v>
      </c>
      <c r="L33" s="12" t="s">
        <v>24</v>
      </c>
      <c r="M33" s="12" t="s">
        <v>24</v>
      </c>
      <c r="N33" s="12" t="s">
        <v>24</v>
      </c>
      <c r="O33" s="12" t="s">
        <v>24</v>
      </c>
      <c r="P33" s="12" t="s">
        <v>24</v>
      </c>
      <c r="Q33" s="12" t="s">
        <v>24</v>
      </c>
      <c r="R33" s="12" t="s">
        <v>24</v>
      </c>
      <c r="S33" s="12" t="s">
        <v>24</v>
      </c>
      <c r="T33" s="12" t="s">
        <v>24</v>
      </c>
      <c r="U33" s="12" t="s">
        <v>24</v>
      </c>
      <c r="V33" s="13" t="s">
        <v>24</v>
      </c>
      <c r="W33" s="12" t="s">
        <v>24</v>
      </c>
      <c r="X33" s="12" t="s">
        <v>24</v>
      </c>
      <c r="Y33" s="12" t="s">
        <v>24</v>
      </c>
      <c r="Z33" s="12" t="s">
        <v>24</v>
      </c>
      <c r="AA33" s="12" t="s">
        <v>24</v>
      </c>
      <c r="AB33" s="12" t="s">
        <v>24</v>
      </c>
      <c r="AC33" s="12" t="s">
        <v>24</v>
      </c>
      <c r="AD33" s="12" t="s">
        <v>24</v>
      </c>
      <c r="AE33" s="12" t="s">
        <v>24</v>
      </c>
      <c r="AF33" s="12" t="s">
        <v>24</v>
      </c>
      <c r="AG33" s="12" t="s">
        <v>24</v>
      </c>
      <c r="AH33" s="12" t="s">
        <v>24</v>
      </c>
      <c r="AI33" s="12" t="s">
        <v>24</v>
      </c>
      <c r="AJ33" s="12" t="s">
        <v>24</v>
      </c>
      <c r="AK33" s="12" t="s">
        <v>24</v>
      </c>
      <c r="AL33" s="12" t="s">
        <v>24</v>
      </c>
      <c r="AM33" s="12" t="s">
        <v>24</v>
      </c>
      <c r="AN33" s="12" t="s">
        <v>24</v>
      </c>
      <c r="AO33" s="12" t="s">
        <v>24</v>
      </c>
      <c r="AP33" s="12" t="s">
        <v>24</v>
      </c>
      <c r="AQ33" s="12" t="s">
        <v>24</v>
      </c>
      <c r="AR33" s="13" t="s">
        <v>24</v>
      </c>
      <c r="AS33" s="12" t="s">
        <v>24</v>
      </c>
      <c r="AT33" s="12" t="s">
        <v>24</v>
      </c>
      <c r="AU33" s="12" t="s">
        <v>24</v>
      </c>
      <c r="AV33" s="12" t="s">
        <v>24</v>
      </c>
      <c r="AW33" s="12" t="s">
        <v>24</v>
      </c>
      <c r="AX33" s="12" t="s">
        <v>24</v>
      </c>
      <c r="AY33" s="12" t="s">
        <v>24</v>
      </c>
      <c r="AZ33" s="12" t="s">
        <v>24</v>
      </c>
      <c r="BA33" s="12" t="s">
        <v>24</v>
      </c>
      <c r="BB33" s="12" t="s">
        <v>24</v>
      </c>
      <c r="BC33" s="12" t="s">
        <v>24</v>
      </c>
      <c r="BD33" s="12" t="s">
        <v>24</v>
      </c>
      <c r="BE33" s="12" t="s">
        <v>24</v>
      </c>
      <c r="BF33" s="12" t="s">
        <v>24</v>
      </c>
      <c r="BG33" s="12" t="s">
        <v>24</v>
      </c>
      <c r="BH33" s="12" t="s">
        <v>24</v>
      </c>
      <c r="BI33" s="12" t="s">
        <v>24</v>
      </c>
      <c r="BJ33" s="12" t="s">
        <v>24</v>
      </c>
      <c r="BK33" s="12" t="s">
        <v>24</v>
      </c>
      <c r="BL33" s="12" t="s">
        <v>24</v>
      </c>
      <c r="BM33" s="12" t="s">
        <v>24</v>
      </c>
      <c r="BN33" s="12" t="s">
        <v>24</v>
      </c>
      <c r="BO33" s="13" t="s">
        <v>24</v>
      </c>
      <c r="BP33" s="12" t="s">
        <v>24</v>
      </c>
      <c r="BQ33" s="12" t="s">
        <v>24</v>
      </c>
      <c r="BR33" s="12" t="s">
        <v>24</v>
      </c>
      <c r="BS33" s="12" t="s">
        <v>24</v>
      </c>
      <c r="BT33" s="12" t="s">
        <v>24</v>
      </c>
      <c r="BU33" s="17">
        <f t="shared" si="0"/>
        <v>0</v>
      </c>
      <c r="BV33" s="17" cm="1">
        <f t="array" ref="BV33">SUM(COUNTIF(D33:BT33,{"A";"AT"}))</f>
        <v>69</v>
      </c>
      <c r="BW33" s="17">
        <f t="shared" si="1"/>
        <v>0</v>
      </c>
      <c r="BX33" s="17">
        <f t="shared" si="2"/>
        <v>0</v>
      </c>
      <c r="BY33" s="18">
        <f t="shared" si="3"/>
        <v>69</v>
      </c>
    </row>
    <row r="34" spans="1:81" ht="20.25" customHeight="1" thickBot="1" x14ac:dyDescent="0.25">
      <c r="A34" s="1">
        <v>24</v>
      </c>
      <c r="B34" s="94"/>
      <c r="C34" s="95"/>
      <c r="D34" s="11" t="s">
        <v>24</v>
      </c>
      <c r="E34" s="12" t="s">
        <v>24</v>
      </c>
      <c r="F34" s="12" t="s">
        <v>24</v>
      </c>
      <c r="G34" s="12" t="s">
        <v>24</v>
      </c>
      <c r="H34" s="12" t="s">
        <v>24</v>
      </c>
      <c r="I34" s="12" t="s">
        <v>24</v>
      </c>
      <c r="J34" s="12" t="s">
        <v>24</v>
      </c>
      <c r="K34" s="12" t="s">
        <v>24</v>
      </c>
      <c r="L34" s="12" t="s">
        <v>24</v>
      </c>
      <c r="M34" s="12" t="s">
        <v>24</v>
      </c>
      <c r="N34" s="12" t="s">
        <v>24</v>
      </c>
      <c r="O34" s="12" t="s">
        <v>24</v>
      </c>
      <c r="P34" s="12" t="s">
        <v>24</v>
      </c>
      <c r="Q34" s="12" t="s">
        <v>24</v>
      </c>
      <c r="R34" s="12" t="s">
        <v>24</v>
      </c>
      <c r="S34" s="12" t="s">
        <v>24</v>
      </c>
      <c r="T34" s="12" t="s">
        <v>24</v>
      </c>
      <c r="U34" s="12" t="s">
        <v>24</v>
      </c>
      <c r="V34" s="13" t="s">
        <v>24</v>
      </c>
      <c r="W34" s="12" t="s">
        <v>24</v>
      </c>
      <c r="X34" s="12" t="s">
        <v>24</v>
      </c>
      <c r="Y34" s="12" t="s">
        <v>24</v>
      </c>
      <c r="Z34" s="12" t="s">
        <v>24</v>
      </c>
      <c r="AA34" s="12" t="s">
        <v>24</v>
      </c>
      <c r="AB34" s="12" t="s">
        <v>24</v>
      </c>
      <c r="AC34" s="12" t="s">
        <v>24</v>
      </c>
      <c r="AD34" s="12" t="s">
        <v>24</v>
      </c>
      <c r="AE34" s="12" t="s">
        <v>24</v>
      </c>
      <c r="AF34" s="12" t="s">
        <v>24</v>
      </c>
      <c r="AG34" s="12" t="s">
        <v>24</v>
      </c>
      <c r="AH34" s="12" t="s">
        <v>24</v>
      </c>
      <c r="AI34" s="12" t="s">
        <v>24</v>
      </c>
      <c r="AJ34" s="12" t="s">
        <v>24</v>
      </c>
      <c r="AK34" s="12" t="s">
        <v>24</v>
      </c>
      <c r="AL34" s="12" t="s">
        <v>24</v>
      </c>
      <c r="AM34" s="12" t="s">
        <v>24</v>
      </c>
      <c r="AN34" s="12" t="s">
        <v>24</v>
      </c>
      <c r="AO34" s="12" t="s">
        <v>24</v>
      </c>
      <c r="AP34" s="12" t="s">
        <v>24</v>
      </c>
      <c r="AQ34" s="12" t="s">
        <v>24</v>
      </c>
      <c r="AR34" s="13" t="s">
        <v>24</v>
      </c>
      <c r="AS34" s="12" t="s">
        <v>24</v>
      </c>
      <c r="AT34" s="12" t="s">
        <v>24</v>
      </c>
      <c r="AU34" s="12" t="s">
        <v>24</v>
      </c>
      <c r="AV34" s="12" t="s">
        <v>24</v>
      </c>
      <c r="AW34" s="12" t="s">
        <v>24</v>
      </c>
      <c r="AX34" s="12" t="s">
        <v>24</v>
      </c>
      <c r="AY34" s="12" t="s">
        <v>24</v>
      </c>
      <c r="AZ34" s="12" t="s">
        <v>24</v>
      </c>
      <c r="BA34" s="12" t="s">
        <v>24</v>
      </c>
      <c r="BB34" s="12" t="s">
        <v>24</v>
      </c>
      <c r="BC34" s="12" t="s">
        <v>24</v>
      </c>
      <c r="BD34" s="12" t="s">
        <v>24</v>
      </c>
      <c r="BE34" s="12" t="s">
        <v>24</v>
      </c>
      <c r="BF34" s="12" t="s">
        <v>24</v>
      </c>
      <c r="BG34" s="12" t="s">
        <v>24</v>
      </c>
      <c r="BH34" s="12" t="s">
        <v>24</v>
      </c>
      <c r="BI34" s="12" t="s">
        <v>24</v>
      </c>
      <c r="BJ34" s="12" t="s">
        <v>24</v>
      </c>
      <c r="BK34" s="12" t="s">
        <v>24</v>
      </c>
      <c r="BL34" s="12" t="s">
        <v>24</v>
      </c>
      <c r="BM34" s="12" t="s">
        <v>24</v>
      </c>
      <c r="BN34" s="12" t="s">
        <v>24</v>
      </c>
      <c r="BO34" s="13" t="s">
        <v>24</v>
      </c>
      <c r="BP34" s="12" t="s">
        <v>24</v>
      </c>
      <c r="BQ34" s="12" t="s">
        <v>24</v>
      </c>
      <c r="BR34" s="12" t="s">
        <v>24</v>
      </c>
      <c r="BS34" s="12" t="s">
        <v>24</v>
      </c>
      <c r="BT34" s="12" t="s">
        <v>24</v>
      </c>
      <c r="BU34" s="17">
        <f t="shared" si="0"/>
        <v>0</v>
      </c>
      <c r="BV34" s="17" cm="1">
        <f t="array" ref="BV34">SUM(COUNTIF(D34:BT34,{"A";"AT"}))</f>
        <v>69</v>
      </c>
      <c r="BW34" s="17">
        <f t="shared" si="1"/>
        <v>0</v>
      </c>
      <c r="BX34" s="17">
        <f t="shared" si="2"/>
        <v>0</v>
      </c>
      <c r="BY34" s="18">
        <f t="shared" si="3"/>
        <v>69</v>
      </c>
    </row>
    <row r="35" spans="1:81" ht="20.25" customHeight="1" thickBot="1" x14ac:dyDescent="0.25">
      <c r="A35" s="1">
        <v>25</v>
      </c>
      <c r="B35" s="94"/>
      <c r="C35" s="95"/>
      <c r="D35" s="11" t="s">
        <v>24</v>
      </c>
      <c r="E35" s="12" t="s">
        <v>24</v>
      </c>
      <c r="F35" s="12" t="s">
        <v>24</v>
      </c>
      <c r="G35" s="12" t="s">
        <v>24</v>
      </c>
      <c r="H35" s="12" t="s">
        <v>24</v>
      </c>
      <c r="I35" s="12" t="s">
        <v>24</v>
      </c>
      <c r="J35" s="12" t="s">
        <v>24</v>
      </c>
      <c r="K35" s="12" t="s">
        <v>24</v>
      </c>
      <c r="L35" s="12" t="s">
        <v>24</v>
      </c>
      <c r="M35" s="12" t="s">
        <v>24</v>
      </c>
      <c r="N35" s="12" t="s">
        <v>24</v>
      </c>
      <c r="O35" s="12" t="s">
        <v>24</v>
      </c>
      <c r="P35" s="12" t="s">
        <v>24</v>
      </c>
      <c r="Q35" s="12" t="s">
        <v>24</v>
      </c>
      <c r="R35" s="12" t="s">
        <v>24</v>
      </c>
      <c r="S35" s="12" t="s">
        <v>24</v>
      </c>
      <c r="T35" s="12" t="s">
        <v>24</v>
      </c>
      <c r="U35" s="12" t="s">
        <v>24</v>
      </c>
      <c r="V35" s="13" t="s">
        <v>24</v>
      </c>
      <c r="W35" s="12" t="s">
        <v>24</v>
      </c>
      <c r="X35" s="12" t="s">
        <v>24</v>
      </c>
      <c r="Y35" s="12" t="s">
        <v>24</v>
      </c>
      <c r="Z35" s="12" t="s">
        <v>24</v>
      </c>
      <c r="AA35" s="12" t="s">
        <v>24</v>
      </c>
      <c r="AB35" s="12" t="s">
        <v>24</v>
      </c>
      <c r="AC35" s="12" t="s">
        <v>24</v>
      </c>
      <c r="AD35" s="12" t="s">
        <v>24</v>
      </c>
      <c r="AE35" s="12" t="s">
        <v>24</v>
      </c>
      <c r="AF35" s="12" t="s">
        <v>24</v>
      </c>
      <c r="AG35" s="12" t="s">
        <v>24</v>
      </c>
      <c r="AH35" s="12" t="s">
        <v>24</v>
      </c>
      <c r="AI35" s="12" t="s">
        <v>24</v>
      </c>
      <c r="AJ35" s="12" t="s">
        <v>24</v>
      </c>
      <c r="AK35" s="12" t="s">
        <v>24</v>
      </c>
      <c r="AL35" s="12" t="s">
        <v>24</v>
      </c>
      <c r="AM35" s="12" t="s">
        <v>24</v>
      </c>
      <c r="AN35" s="12" t="s">
        <v>24</v>
      </c>
      <c r="AO35" s="12" t="s">
        <v>24</v>
      </c>
      <c r="AP35" s="12" t="s">
        <v>24</v>
      </c>
      <c r="AQ35" s="12" t="s">
        <v>24</v>
      </c>
      <c r="AR35" s="13" t="s">
        <v>24</v>
      </c>
      <c r="AS35" s="12" t="s">
        <v>24</v>
      </c>
      <c r="AT35" s="12" t="s">
        <v>24</v>
      </c>
      <c r="AU35" s="12" t="s">
        <v>24</v>
      </c>
      <c r="AV35" s="12" t="s">
        <v>24</v>
      </c>
      <c r="AW35" s="12" t="s">
        <v>24</v>
      </c>
      <c r="AX35" s="12" t="s">
        <v>24</v>
      </c>
      <c r="AY35" s="12" t="s">
        <v>24</v>
      </c>
      <c r="AZ35" s="12" t="s">
        <v>24</v>
      </c>
      <c r="BA35" s="12" t="s">
        <v>24</v>
      </c>
      <c r="BB35" s="12" t="s">
        <v>24</v>
      </c>
      <c r="BC35" s="12" t="s">
        <v>24</v>
      </c>
      <c r="BD35" s="12" t="s">
        <v>24</v>
      </c>
      <c r="BE35" s="12" t="s">
        <v>24</v>
      </c>
      <c r="BF35" s="12" t="s">
        <v>24</v>
      </c>
      <c r="BG35" s="12" t="s">
        <v>24</v>
      </c>
      <c r="BH35" s="12" t="s">
        <v>24</v>
      </c>
      <c r="BI35" s="12" t="s">
        <v>24</v>
      </c>
      <c r="BJ35" s="12" t="s">
        <v>24</v>
      </c>
      <c r="BK35" s="12" t="s">
        <v>24</v>
      </c>
      <c r="BL35" s="12" t="s">
        <v>24</v>
      </c>
      <c r="BM35" s="12" t="s">
        <v>24</v>
      </c>
      <c r="BN35" s="12" t="s">
        <v>24</v>
      </c>
      <c r="BO35" s="13" t="s">
        <v>24</v>
      </c>
      <c r="BP35" s="12" t="s">
        <v>24</v>
      </c>
      <c r="BQ35" s="12" t="s">
        <v>24</v>
      </c>
      <c r="BR35" s="12" t="s">
        <v>24</v>
      </c>
      <c r="BS35" s="12" t="s">
        <v>24</v>
      </c>
      <c r="BT35" s="12" t="s">
        <v>24</v>
      </c>
      <c r="BU35" s="17">
        <f t="shared" si="0"/>
        <v>0</v>
      </c>
      <c r="BV35" s="17" cm="1">
        <f t="array" ref="BV35">SUM(COUNTIF(D35:BT35,{"A";"AT"}))</f>
        <v>69</v>
      </c>
      <c r="BW35" s="17">
        <f t="shared" si="1"/>
        <v>0</v>
      </c>
      <c r="BX35" s="17">
        <f t="shared" si="2"/>
        <v>0</v>
      </c>
      <c r="BY35" s="18">
        <f t="shared" si="3"/>
        <v>69</v>
      </c>
    </row>
    <row r="36" spans="1:81" ht="20.25" customHeight="1" thickBot="1" x14ac:dyDescent="0.25">
      <c r="A36" s="1">
        <v>26</v>
      </c>
      <c r="B36" s="94"/>
      <c r="C36" s="95"/>
      <c r="D36" s="11" t="s">
        <v>24</v>
      </c>
      <c r="E36" s="12" t="s">
        <v>24</v>
      </c>
      <c r="F36" s="12" t="s">
        <v>24</v>
      </c>
      <c r="G36" s="12" t="s">
        <v>24</v>
      </c>
      <c r="H36" s="12" t="s">
        <v>24</v>
      </c>
      <c r="I36" s="12" t="s">
        <v>24</v>
      </c>
      <c r="J36" s="12" t="s">
        <v>24</v>
      </c>
      <c r="K36" s="12" t="s">
        <v>24</v>
      </c>
      <c r="L36" s="12" t="s">
        <v>24</v>
      </c>
      <c r="M36" s="12" t="s">
        <v>24</v>
      </c>
      <c r="N36" s="12" t="s">
        <v>24</v>
      </c>
      <c r="O36" s="12" t="s">
        <v>24</v>
      </c>
      <c r="P36" s="12" t="s">
        <v>24</v>
      </c>
      <c r="Q36" s="12" t="s">
        <v>24</v>
      </c>
      <c r="R36" s="12" t="s">
        <v>24</v>
      </c>
      <c r="S36" s="12" t="s">
        <v>24</v>
      </c>
      <c r="T36" s="12" t="s">
        <v>24</v>
      </c>
      <c r="U36" s="12" t="s">
        <v>24</v>
      </c>
      <c r="V36" s="13" t="s">
        <v>24</v>
      </c>
      <c r="W36" s="12" t="s">
        <v>24</v>
      </c>
      <c r="X36" s="12" t="s">
        <v>24</v>
      </c>
      <c r="Y36" s="12" t="s">
        <v>24</v>
      </c>
      <c r="Z36" s="12" t="s">
        <v>24</v>
      </c>
      <c r="AA36" s="12" t="s">
        <v>24</v>
      </c>
      <c r="AB36" s="12" t="s">
        <v>24</v>
      </c>
      <c r="AC36" s="12" t="s">
        <v>24</v>
      </c>
      <c r="AD36" s="12" t="s">
        <v>24</v>
      </c>
      <c r="AE36" s="12" t="s">
        <v>24</v>
      </c>
      <c r="AF36" s="12" t="s">
        <v>24</v>
      </c>
      <c r="AG36" s="12" t="s">
        <v>24</v>
      </c>
      <c r="AH36" s="12" t="s">
        <v>24</v>
      </c>
      <c r="AI36" s="12" t="s">
        <v>24</v>
      </c>
      <c r="AJ36" s="12" t="s">
        <v>24</v>
      </c>
      <c r="AK36" s="12" t="s">
        <v>24</v>
      </c>
      <c r="AL36" s="12" t="s">
        <v>24</v>
      </c>
      <c r="AM36" s="12" t="s">
        <v>24</v>
      </c>
      <c r="AN36" s="12" t="s">
        <v>24</v>
      </c>
      <c r="AO36" s="12" t="s">
        <v>24</v>
      </c>
      <c r="AP36" s="12" t="s">
        <v>24</v>
      </c>
      <c r="AQ36" s="12" t="s">
        <v>24</v>
      </c>
      <c r="AR36" s="13" t="s">
        <v>24</v>
      </c>
      <c r="AS36" s="12" t="s">
        <v>24</v>
      </c>
      <c r="AT36" s="12" t="s">
        <v>24</v>
      </c>
      <c r="AU36" s="12" t="s">
        <v>24</v>
      </c>
      <c r="AV36" s="12" t="s">
        <v>24</v>
      </c>
      <c r="AW36" s="12" t="s">
        <v>24</v>
      </c>
      <c r="AX36" s="12" t="s">
        <v>24</v>
      </c>
      <c r="AY36" s="12" t="s">
        <v>24</v>
      </c>
      <c r="AZ36" s="12" t="s">
        <v>24</v>
      </c>
      <c r="BA36" s="12" t="s">
        <v>24</v>
      </c>
      <c r="BB36" s="12" t="s">
        <v>24</v>
      </c>
      <c r="BC36" s="12" t="s">
        <v>24</v>
      </c>
      <c r="BD36" s="12" t="s">
        <v>24</v>
      </c>
      <c r="BE36" s="12" t="s">
        <v>24</v>
      </c>
      <c r="BF36" s="12" t="s">
        <v>24</v>
      </c>
      <c r="BG36" s="12" t="s">
        <v>24</v>
      </c>
      <c r="BH36" s="12" t="s">
        <v>24</v>
      </c>
      <c r="BI36" s="12" t="s">
        <v>24</v>
      </c>
      <c r="BJ36" s="12" t="s">
        <v>24</v>
      </c>
      <c r="BK36" s="12" t="s">
        <v>24</v>
      </c>
      <c r="BL36" s="12" t="s">
        <v>24</v>
      </c>
      <c r="BM36" s="12" t="s">
        <v>24</v>
      </c>
      <c r="BN36" s="12" t="s">
        <v>24</v>
      </c>
      <c r="BO36" s="13" t="s">
        <v>24</v>
      </c>
      <c r="BP36" s="12" t="s">
        <v>24</v>
      </c>
      <c r="BQ36" s="12" t="s">
        <v>24</v>
      </c>
      <c r="BR36" s="12" t="s">
        <v>24</v>
      </c>
      <c r="BS36" s="12" t="s">
        <v>24</v>
      </c>
      <c r="BT36" s="12" t="s">
        <v>24</v>
      </c>
      <c r="BU36" s="17">
        <f t="shared" si="0"/>
        <v>0</v>
      </c>
      <c r="BV36" s="17" cm="1">
        <f t="array" ref="BV36">SUM(COUNTIF(D36:BT36,{"A";"AT"}))</f>
        <v>69</v>
      </c>
      <c r="BW36" s="17">
        <f t="shared" si="1"/>
        <v>0</v>
      </c>
      <c r="BX36" s="17">
        <f t="shared" si="2"/>
        <v>0</v>
      </c>
      <c r="BY36" s="18">
        <f t="shared" si="3"/>
        <v>69</v>
      </c>
    </row>
    <row r="37" spans="1:81" ht="20.25" customHeight="1" thickBot="1" x14ac:dyDescent="0.25">
      <c r="A37" s="1">
        <v>27</v>
      </c>
      <c r="B37" s="94"/>
      <c r="C37" s="95"/>
      <c r="D37" s="11" t="s">
        <v>24</v>
      </c>
      <c r="E37" s="12" t="s">
        <v>24</v>
      </c>
      <c r="F37" s="12" t="s">
        <v>24</v>
      </c>
      <c r="G37" s="12" t="s">
        <v>24</v>
      </c>
      <c r="H37" s="12" t="s">
        <v>24</v>
      </c>
      <c r="I37" s="12" t="s">
        <v>24</v>
      </c>
      <c r="J37" s="12" t="s">
        <v>24</v>
      </c>
      <c r="K37" s="12" t="s">
        <v>24</v>
      </c>
      <c r="L37" s="12" t="s">
        <v>24</v>
      </c>
      <c r="M37" s="12" t="s">
        <v>24</v>
      </c>
      <c r="N37" s="12" t="s">
        <v>24</v>
      </c>
      <c r="O37" s="12" t="s">
        <v>24</v>
      </c>
      <c r="P37" s="12" t="s">
        <v>24</v>
      </c>
      <c r="Q37" s="12" t="s">
        <v>24</v>
      </c>
      <c r="R37" s="12" t="s">
        <v>24</v>
      </c>
      <c r="S37" s="12" t="s">
        <v>24</v>
      </c>
      <c r="T37" s="12" t="s">
        <v>24</v>
      </c>
      <c r="U37" s="12" t="s">
        <v>24</v>
      </c>
      <c r="V37" s="13" t="s">
        <v>24</v>
      </c>
      <c r="W37" s="12" t="s">
        <v>24</v>
      </c>
      <c r="X37" s="12" t="s">
        <v>24</v>
      </c>
      <c r="Y37" s="12" t="s">
        <v>24</v>
      </c>
      <c r="Z37" s="12" t="s">
        <v>24</v>
      </c>
      <c r="AA37" s="12" t="s">
        <v>24</v>
      </c>
      <c r="AB37" s="12" t="s">
        <v>24</v>
      </c>
      <c r="AC37" s="12" t="s">
        <v>24</v>
      </c>
      <c r="AD37" s="12" t="s">
        <v>24</v>
      </c>
      <c r="AE37" s="12" t="s">
        <v>24</v>
      </c>
      <c r="AF37" s="12" t="s">
        <v>24</v>
      </c>
      <c r="AG37" s="12" t="s">
        <v>24</v>
      </c>
      <c r="AH37" s="12" t="s">
        <v>24</v>
      </c>
      <c r="AI37" s="12" t="s">
        <v>24</v>
      </c>
      <c r="AJ37" s="12" t="s">
        <v>24</v>
      </c>
      <c r="AK37" s="12" t="s">
        <v>24</v>
      </c>
      <c r="AL37" s="12" t="s">
        <v>24</v>
      </c>
      <c r="AM37" s="12" t="s">
        <v>24</v>
      </c>
      <c r="AN37" s="12" t="s">
        <v>24</v>
      </c>
      <c r="AO37" s="12" t="s">
        <v>24</v>
      </c>
      <c r="AP37" s="12" t="s">
        <v>24</v>
      </c>
      <c r="AQ37" s="12" t="s">
        <v>24</v>
      </c>
      <c r="AR37" s="13" t="s">
        <v>24</v>
      </c>
      <c r="AS37" s="12" t="s">
        <v>24</v>
      </c>
      <c r="AT37" s="12" t="s">
        <v>24</v>
      </c>
      <c r="AU37" s="12" t="s">
        <v>24</v>
      </c>
      <c r="AV37" s="12" t="s">
        <v>24</v>
      </c>
      <c r="AW37" s="12" t="s">
        <v>24</v>
      </c>
      <c r="AX37" s="12" t="s">
        <v>24</v>
      </c>
      <c r="AY37" s="12" t="s">
        <v>24</v>
      </c>
      <c r="AZ37" s="12" t="s">
        <v>24</v>
      </c>
      <c r="BA37" s="12" t="s">
        <v>24</v>
      </c>
      <c r="BB37" s="12" t="s">
        <v>24</v>
      </c>
      <c r="BC37" s="12" t="s">
        <v>24</v>
      </c>
      <c r="BD37" s="12" t="s">
        <v>24</v>
      </c>
      <c r="BE37" s="12" t="s">
        <v>24</v>
      </c>
      <c r="BF37" s="12" t="s">
        <v>24</v>
      </c>
      <c r="BG37" s="12" t="s">
        <v>24</v>
      </c>
      <c r="BH37" s="12" t="s">
        <v>24</v>
      </c>
      <c r="BI37" s="12" t="s">
        <v>24</v>
      </c>
      <c r="BJ37" s="12" t="s">
        <v>24</v>
      </c>
      <c r="BK37" s="12" t="s">
        <v>24</v>
      </c>
      <c r="BL37" s="12" t="s">
        <v>24</v>
      </c>
      <c r="BM37" s="12" t="s">
        <v>24</v>
      </c>
      <c r="BN37" s="12" t="s">
        <v>24</v>
      </c>
      <c r="BO37" s="13" t="s">
        <v>24</v>
      </c>
      <c r="BP37" s="12" t="s">
        <v>24</v>
      </c>
      <c r="BQ37" s="12" t="s">
        <v>24</v>
      </c>
      <c r="BR37" s="12" t="s">
        <v>24</v>
      </c>
      <c r="BS37" s="12" t="s">
        <v>24</v>
      </c>
      <c r="BT37" s="12" t="s">
        <v>24</v>
      </c>
      <c r="BU37" s="17">
        <f t="shared" si="0"/>
        <v>0</v>
      </c>
      <c r="BV37" s="17" cm="1">
        <f t="array" ref="BV37">SUM(COUNTIF(D37:BT37,{"A";"AT"}))</f>
        <v>69</v>
      </c>
      <c r="BW37" s="17">
        <f t="shared" si="1"/>
        <v>0</v>
      </c>
      <c r="BX37" s="17">
        <f t="shared" si="2"/>
        <v>0</v>
      </c>
      <c r="BY37" s="18">
        <f t="shared" si="3"/>
        <v>69</v>
      </c>
    </row>
    <row r="38" spans="1:81" ht="20.25" customHeight="1" thickBot="1" x14ac:dyDescent="0.25">
      <c r="A38" s="1">
        <v>28</v>
      </c>
      <c r="B38" s="94"/>
      <c r="C38" s="95"/>
      <c r="D38" s="11" t="s">
        <v>24</v>
      </c>
      <c r="E38" s="12" t="s">
        <v>24</v>
      </c>
      <c r="F38" s="12" t="s">
        <v>24</v>
      </c>
      <c r="G38" s="12" t="s">
        <v>24</v>
      </c>
      <c r="H38" s="12" t="s">
        <v>24</v>
      </c>
      <c r="I38" s="12" t="s">
        <v>24</v>
      </c>
      <c r="J38" s="12" t="s">
        <v>24</v>
      </c>
      <c r="K38" s="12" t="s">
        <v>24</v>
      </c>
      <c r="L38" s="12" t="s">
        <v>24</v>
      </c>
      <c r="M38" s="12" t="s">
        <v>24</v>
      </c>
      <c r="N38" s="12" t="s">
        <v>24</v>
      </c>
      <c r="O38" s="12" t="s">
        <v>24</v>
      </c>
      <c r="P38" s="12" t="s">
        <v>24</v>
      </c>
      <c r="Q38" s="12" t="s">
        <v>24</v>
      </c>
      <c r="R38" s="12" t="s">
        <v>24</v>
      </c>
      <c r="S38" s="12" t="s">
        <v>24</v>
      </c>
      <c r="T38" s="12" t="s">
        <v>24</v>
      </c>
      <c r="U38" s="12" t="s">
        <v>24</v>
      </c>
      <c r="V38" s="13" t="s">
        <v>24</v>
      </c>
      <c r="W38" s="12" t="s">
        <v>24</v>
      </c>
      <c r="X38" s="12" t="s">
        <v>24</v>
      </c>
      <c r="Y38" s="12" t="s">
        <v>24</v>
      </c>
      <c r="Z38" s="12" t="s">
        <v>24</v>
      </c>
      <c r="AA38" s="12" t="s">
        <v>24</v>
      </c>
      <c r="AB38" s="12" t="s">
        <v>24</v>
      </c>
      <c r="AC38" s="12" t="s">
        <v>24</v>
      </c>
      <c r="AD38" s="12" t="s">
        <v>24</v>
      </c>
      <c r="AE38" s="12" t="s">
        <v>24</v>
      </c>
      <c r="AF38" s="12" t="s">
        <v>24</v>
      </c>
      <c r="AG38" s="12" t="s">
        <v>24</v>
      </c>
      <c r="AH38" s="12" t="s">
        <v>24</v>
      </c>
      <c r="AI38" s="12" t="s">
        <v>24</v>
      </c>
      <c r="AJ38" s="12" t="s">
        <v>24</v>
      </c>
      <c r="AK38" s="12" t="s">
        <v>24</v>
      </c>
      <c r="AL38" s="12" t="s">
        <v>24</v>
      </c>
      <c r="AM38" s="12" t="s">
        <v>24</v>
      </c>
      <c r="AN38" s="12" t="s">
        <v>24</v>
      </c>
      <c r="AO38" s="12" t="s">
        <v>24</v>
      </c>
      <c r="AP38" s="12" t="s">
        <v>24</v>
      </c>
      <c r="AQ38" s="12" t="s">
        <v>24</v>
      </c>
      <c r="AR38" s="13" t="s">
        <v>24</v>
      </c>
      <c r="AS38" s="12" t="s">
        <v>24</v>
      </c>
      <c r="AT38" s="12" t="s">
        <v>24</v>
      </c>
      <c r="AU38" s="12" t="s">
        <v>24</v>
      </c>
      <c r="AV38" s="12" t="s">
        <v>24</v>
      </c>
      <c r="AW38" s="12" t="s">
        <v>24</v>
      </c>
      <c r="AX38" s="12" t="s">
        <v>24</v>
      </c>
      <c r="AY38" s="12" t="s">
        <v>24</v>
      </c>
      <c r="AZ38" s="12" t="s">
        <v>24</v>
      </c>
      <c r="BA38" s="12" t="s">
        <v>24</v>
      </c>
      <c r="BB38" s="12" t="s">
        <v>24</v>
      </c>
      <c r="BC38" s="12" t="s">
        <v>24</v>
      </c>
      <c r="BD38" s="12" t="s">
        <v>24</v>
      </c>
      <c r="BE38" s="12" t="s">
        <v>24</v>
      </c>
      <c r="BF38" s="12" t="s">
        <v>24</v>
      </c>
      <c r="BG38" s="12" t="s">
        <v>24</v>
      </c>
      <c r="BH38" s="12" t="s">
        <v>24</v>
      </c>
      <c r="BI38" s="12" t="s">
        <v>24</v>
      </c>
      <c r="BJ38" s="12" t="s">
        <v>24</v>
      </c>
      <c r="BK38" s="12" t="s">
        <v>24</v>
      </c>
      <c r="BL38" s="12" t="s">
        <v>24</v>
      </c>
      <c r="BM38" s="12" t="s">
        <v>24</v>
      </c>
      <c r="BN38" s="12" t="s">
        <v>24</v>
      </c>
      <c r="BO38" s="13" t="s">
        <v>24</v>
      </c>
      <c r="BP38" s="12" t="s">
        <v>24</v>
      </c>
      <c r="BQ38" s="12" t="s">
        <v>24</v>
      </c>
      <c r="BR38" s="12" t="s">
        <v>24</v>
      </c>
      <c r="BS38" s="12" t="s">
        <v>24</v>
      </c>
      <c r="BT38" s="12" t="s">
        <v>24</v>
      </c>
      <c r="BU38" s="17">
        <f t="shared" ref="BU38" si="4">COUNTIF(D38:BT38,"AT")</f>
        <v>0</v>
      </c>
      <c r="BV38" s="17" cm="1">
        <f t="array" ref="BV38">SUM(COUNTIF(D38:BT38,{"A";"AT"}))</f>
        <v>69</v>
      </c>
      <c r="BW38" s="17">
        <f t="shared" ref="BW38" si="5">COUNTIF(D38:BT38,"J")</f>
        <v>0</v>
      </c>
      <c r="BX38" s="17">
        <f t="shared" ref="BX38" si="6">COUNTIF(D38:BT38,"F")</f>
        <v>0</v>
      </c>
      <c r="BY38" s="18">
        <f t="shared" ref="BY38" si="7">SUM(BV38:BX38)</f>
        <v>69</v>
      </c>
    </row>
    <row r="39" spans="1:81" ht="20.25" customHeight="1" thickBot="1" x14ac:dyDescent="0.25">
      <c r="A39" s="1">
        <v>29</v>
      </c>
      <c r="B39" s="94"/>
      <c r="C39" s="95"/>
      <c r="D39" s="11" t="s">
        <v>24</v>
      </c>
      <c r="E39" s="12" t="s">
        <v>24</v>
      </c>
      <c r="F39" s="12" t="s">
        <v>24</v>
      </c>
      <c r="G39" s="12" t="s">
        <v>24</v>
      </c>
      <c r="H39" s="12" t="s">
        <v>24</v>
      </c>
      <c r="I39" s="12" t="s">
        <v>24</v>
      </c>
      <c r="J39" s="12" t="s">
        <v>24</v>
      </c>
      <c r="K39" s="12" t="s">
        <v>24</v>
      </c>
      <c r="L39" s="12" t="s">
        <v>24</v>
      </c>
      <c r="M39" s="12" t="s">
        <v>24</v>
      </c>
      <c r="N39" s="12" t="s">
        <v>24</v>
      </c>
      <c r="O39" s="12" t="s">
        <v>24</v>
      </c>
      <c r="P39" s="12" t="s">
        <v>24</v>
      </c>
      <c r="Q39" s="12" t="s">
        <v>24</v>
      </c>
      <c r="R39" s="12" t="s">
        <v>24</v>
      </c>
      <c r="S39" s="12" t="s">
        <v>24</v>
      </c>
      <c r="T39" s="12" t="s">
        <v>24</v>
      </c>
      <c r="U39" s="12" t="s">
        <v>24</v>
      </c>
      <c r="V39" s="13" t="s">
        <v>24</v>
      </c>
      <c r="W39" s="12" t="s">
        <v>24</v>
      </c>
      <c r="X39" s="12" t="s">
        <v>24</v>
      </c>
      <c r="Y39" s="12" t="s">
        <v>24</v>
      </c>
      <c r="Z39" s="12" t="s">
        <v>24</v>
      </c>
      <c r="AA39" s="12" t="s">
        <v>24</v>
      </c>
      <c r="AB39" s="12" t="s">
        <v>24</v>
      </c>
      <c r="AC39" s="12" t="s">
        <v>24</v>
      </c>
      <c r="AD39" s="12" t="s">
        <v>24</v>
      </c>
      <c r="AE39" s="12" t="s">
        <v>24</v>
      </c>
      <c r="AF39" s="12" t="s">
        <v>24</v>
      </c>
      <c r="AG39" s="12" t="s">
        <v>24</v>
      </c>
      <c r="AH39" s="12" t="s">
        <v>24</v>
      </c>
      <c r="AI39" s="12" t="s">
        <v>24</v>
      </c>
      <c r="AJ39" s="12" t="s">
        <v>24</v>
      </c>
      <c r="AK39" s="12" t="s">
        <v>24</v>
      </c>
      <c r="AL39" s="12" t="s">
        <v>24</v>
      </c>
      <c r="AM39" s="12" t="s">
        <v>24</v>
      </c>
      <c r="AN39" s="12" t="s">
        <v>24</v>
      </c>
      <c r="AO39" s="12" t="s">
        <v>24</v>
      </c>
      <c r="AP39" s="12" t="s">
        <v>24</v>
      </c>
      <c r="AQ39" s="12" t="s">
        <v>24</v>
      </c>
      <c r="AR39" s="13" t="s">
        <v>24</v>
      </c>
      <c r="AS39" s="12" t="s">
        <v>24</v>
      </c>
      <c r="AT39" s="12" t="s">
        <v>24</v>
      </c>
      <c r="AU39" s="12" t="s">
        <v>24</v>
      </c>
      <c r="AV39" s="12" t="s">
        <v>24</v>
      </c>
      <c r="AW39" s="12" t="s">
        <v>24</v>
      </c>
      <c r="AX39" s="12" t="s">
        <v>24</v>
      </c>
      <c r="AY39" s="12" t="s">
        <v>24</v>
      </c>
      <c r="AZ39" s="12" t="s">
        <v>24</v>
      </c>
      <c r="BA39" s="12" t="s">
        <v>24</v>
      </c>
      <c r="BB39" s="12" t="s">
        <v>24</v>
      </c>
      <c r="BC39" s="12" t="s">
        <v>24</v>
      </c>
      <c r="BD39" s="12" t="s">
        <v>24</v>
      </c>
      <c r="BE39" s="12" t="s">
        <v>24</v>
      </c>
      <c r="BF39" s="12" t="s">
        <v>24</v>
      </c>
      <c r="BG39" s="12" t="s">
        <v>24</v>
      </c>
      <c r="BH39" s="12" t="s">
        <v>24</v>
      </c>
      <c r="BI39" s="12" t="s">
        <v>24</v>
      </c>
      <c r="BJ39" s="12" t="s">
        <v>24</v>
      </c>
      <c r="BK39" s="12" t="s">
        <v>24</v>
      </c>
      <c r="BL39" s="12" t="s">
        <v>24</v>
      </c>
      <c r="BM39" s="12" t="s">
        <v>24</v>
      </c>
      <c r="BN39" s="12" t="s">
        <v>24</v>
      </c>
      <c r="BO39" s="13" t="s">
        <v>24</v>
      </c>
      <c r="BP39" s="12" t="s">
        <v>24</v>
      </c>
      <c r="BQ39" s="12" t="s">
        <v>24</v>
      </c>
      <c r="BR39" s="12" t="s">
        <v>24</v>
      </c>
      <c r="BS39" s="12" t="s">
        <v>24</v>
      </c>
      <c r="BT39" s="12" t="s">
        <v>24</v>
      </c>
      <c r="BU39" s="17">
        <f t="shared" si="0"/>
        <v>0</v>
      </c>
      <c r="BV39" s="17" cm="1">
        <f t="array" ref="BV39">SUM(COUNTIF(D39:BT39,{"A";"AT"}))</f>
        <v>69</v>
      </c>
      <c r="BW39" s="17">
        <f t="shared" si="1"/>
        <v>0</v>
      </c>
      <c r="BX39" s="17">
        <f t="shared" si="2"/>
        <v>0</v>
      </c>
      <c r="BY39" s="18">
        <f t="shared" si="3"/>
        <v>69</v>
      </c>
    </row>
    <row r="40" spans="1:81" ht="20.25" customHeight="1" thickBot="1" x14ac:dyDescent="0.25">
      <c r="A40" s="1">
        <v>30</v>
      </c>
      <c r="B40" s="97"/>
      <c r="C40" s="98"/>
      <c r="D40" s="14" t="s">
        <v>24</v>
      </c>
      <c r="E40" s="15" t="s">
        <v>24</v>
      </c>
      <c r="F40" s="15" t="s">
        <v>24</v>
      </c>
      <c r="G40" s="15" t="s">
        <v>24</v>
      </c>
      <c r="H40" s="15" t="s">
        <v>24</v>
      </c>
      <c r="I40" s="15" t="s">
        <v>24</v>
      </c>
      <c r="J40" s="15" t="s">
        <v>24</v>
      </c>
      <c r="K40" s="15" t="s">
        <v>24</v>
      </c>
      <c r="L40" s="15" t="s">
        <v>24</v>
      </c>
      <c r="M40" s="15" t="s">
        <v>24</v>
      </c>
      <c r="N40" s="15" t="s">
        <v>24</v>
      </c>
      <c r="O40" s="15" t="s">
        <v>24</v>
      </c>
      <c r="P40" s="15" t="s">
        <v>24</v>
      </c>
      <c r="Q40" s="15" t="s">
        <v>24</v>
      </c>
      <c r="R40" s="15" t="s">
        <v>24</v>
      </c>
      <c r="S40" s="15" t="s">
        <v>24</v>
      </c>
      <c r="T40" s="15" t="s">
        <v>24</v>
      </c>
      <c r="U40" s="15" t="s">
        <v>24</v>
      </c>
      <c r="V40" s="16" t="s">
        <v>24</v>
      </c>
      <c r="W40" s="15" t="s">
        <v>24</v>
      </c>
      <c r="X40" s="15" t="s">
        <v>24</v>
      </c>
      <c r="Y40" s="15" t="s">
        <v>24</v>
      </c>
      <c r="Z40" s="15" t="s">
        <v>24</v>
      </c>
      <c r="AA40" s="15" t="s">
        <v>24</v>
      </c>
      <c r="AB40" s="15" t="s">
        <v>24</v>
      </c>
      <c r="AC40" s="15" t="s">
        <v>24</v>
      </c>
      <c r="AD40" s="15" t="s">
        <v>24</v>
      </c>
      <c r="AE40" s="15" t="s">
        <v>24</v>
      </c>
      <c r="AF40" s="15" t="s">
        <v>24</v>
      </c>
      <c r="AG40" s="15" t="s">
        <v>24</v>
      </c>
      <c r="AH40" s="15" t="s">
        <v>24</v>
      </c>
      <c r="AI40" s="15" t="s">
        <v>24</v>
      </c>
      <c r="AJ40" s="15" t="s">
        <v>24</v>
      </c>
      <c r="AK40" s="15" t="s">
        <v>24</v>
      </c>
      <c r="AL40" s="15" t="s">
        <v>24</v>
      </c>
      <c r="AM40" s="15" t="s">
        <v>24</v>
      </c>
      <c r="AN40" s="15" t="s">
        <v>24</v>
      </c>
      <c r="AO40" s="15" t="s">
        <v>24</v>
      </c>
      <c r="AP40" s="15" t="s">
        <v>24</v>
      </c>
      <c r="AQ40" s="15" t="s">
        <v>24</v>
      </c>
      <c r="AR40" s="16" t="s">
        <v>24</v>
      </c>
      <c r="AS40" s="15" t="s">
        <v>24</v>
      </c>
      <c r="AT40" s="15" t="s">
        <v>24</v>
      </c>
      <c r="AU40" s="15" t="s">
        <v>24</v>
      </c>
      <c r="AV40" s="15" t="s">
        <v>24</v>
      </c>
      <c r="AW40" s="15" t="s">
        <v>24</v>
      </c>
      <c r="AX40" s="15" t="s">
        <v>24</v>
      </c>
      <c r="AY40" s="15" t="s">
        <v>24</v>
      </c>
      <c r="AZ40" s="15" t="s">
        <v>24</v>
      </c>
      <c r="BA40" s="15" t="s">
        <v>24</v>
      </c>
      <c r="BB40" s="15" t="s">
        <v>24</v>
      </c>
      <c r="BC40" s="15" t="s">
        <v>24</v>
      </c>
      <c r="BD40" s="15" t="s">
        <v>24</v>
      </c>
      <c r="BE40" s="15" t="s">
        <v>24</v>
      </c>
      <c r="BF40" s="15" t="s">
        <v>24</v>
      </c>
      <c r="BG40" s="15" t="s">
        <v>24</v>
      </c>
      <c r="BH40" s="15" t="s">
        <v>24</v>
      </c>
      <c r="BI40" s="15" t="s">
        <v>24</v>
      </c>
      <c r="BJ40" s="15" t="s">
        <v>24</v>
      </c>
      <c r="BK40" s="15" t="s">
        <v>24</v>
      </c>
      <c r="BL40" s="15" t="s">
        <v>24</v>
      </c>
      <c r="BM40" s="15" t="s">
        <v>24</v>
      </c>
      <c r="BN40" s="15" t="s">
        <v>24</v>
      </c>
      <c r="BO40" s="16" t="s">
        <v>24</v>
      </c>
      <c r="BP40" s="15" t="s">
        <v>24</v>
      </c>
      <c r="BQ40" s="15" t="s">
        <v>24</v>
      </c>
      <c r="BR40" s="15" t="s">
        <v>24</v>
      </c>
      <c r="BS40" s="15" t="s">
        <v>24</v>
      </c>
      <c r="BT40" s="15" t="s">
        <v>24</v>
      </c>
      <c r="BU40" s="17">
        <f t="shared" si="0"/>
        <v>0</v>
      </c>
      <c r="BV40" s="17" cm="1">
        <f t="array" ref="BV40">SUM(COUNTIF(D40:BT40,{"A";"AT"}))</f>
        <v>69</v>
      </c>
      <c r="BW40" s="17">
        <f t="shared" si="1"/>
        <v>0</v>
      </c>
      <c r="BX40" s="17">
        <f t="shared" si="2"/>
        <v>0</v>
      </c>
      <c r="BY40" s="18">
        <f t="shared" si="3"/>
        <v>69</v>
      </c>
    </row>
    <row r="41" spans="1:81" ht="20.25" customHeight="1" x14ac:dyDescent="0.2"/>
    <row r="42" spans="1:81" ht="15.75" customHeight="1" x14ac:dyDescent="0.2"/>
    <row r="43" spans="1:81" ht="15.75" customHeight="1" x14ac:dyDescent="0.2">
      <c r="A43" s="2"/>
      <c r="B43" s="2"/>
      <c r="C43" s="2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2"/>
      <c r="T43" s="2"/>
      <c r="U43" s="2"/>
      <c r="V43" s="2"/>
      <c r="W43" s="2"/>
      <c r="X43" s="2"/>
      <c r="Y43" s="2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L43" s="99"/>
      <c r="BM43" s="99"/>
      <c r="BN43" s="99"/>
      <c r="BO43" s="99"/>
      <c r="BP43" s="99"/>
      <c r="BQ43" s="99"/>
      <c r="BR43" s="99"/>
      <c r="BS43" s="99"/>
      <c r="BT43" s="99"/>
      <c r="BU43" s="99"/>
      <c r="BV43" s="99"/>
      <c r="BW43" s="99"/>
      <c r="BX43" s="27"/>
      <c r="BY43" s="27"/>
      <c r="BZ43" s="27"/>
      <c r="CA43" s="28"/>
      <c r="CB43" s="28"/>
      <c r="CC43" s="28"/>
    </row>
    <row r="44" spans="1:81" s="31" customFormat="1" ht="15.75" customHeight="1" x14ac:dyDescent="0.2"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Z44" s="100" t="s">
        <v>31</v>
      </c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S44" s="100" t="s">
        <v>56</v>
      </c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L44" s="101" t="s">
        <v>53</v>
      </c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32"/>
      <c r="BY44" s="32"/>
      <c r="BZ44" s="32"/>
    </row>
    <row r="45" spans="1:81" s="29" customFormat="1" ht="15.75" customHeight="1" x14ac:dyDescent="0.2">
      <c r="D45" s="96" t="s">
        <v>29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Z45" s="96" t="s">
        <v>41</v>
      </c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S45" s="96" t="s">
        <v>32</v>
      </c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L45" s="96" t="s">
        <v>33</v>
      </c>
      <c r="BM45" s="96"/>
      <c r="BN45" s="96"/>
      <c r="BO45" s="96"/>
      <c r="BP45" s="96"/>
      <c r="BQ45" s="96"/>
      <c r="BR45" s="96"/>
      <c r="BS45" s="96"/>
      <c r="BT45" s="96"/>
      <c r="BU45" s="96"/>
      <c r="BV45" s="96"/>
      <c r="BW45" s="96"/>
      <c r="BX45" s="30"/>
      <c r="BY45" s="30"/>
      <c r="BZ45" s="30"/>
    </row>
    <row r="46" spans="1:81" s="2" customFormat="1" ht="15.75" customHeight="1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</row>
    <row r="47" spans="1:81" ht="15.75" customHeight="1" x14ac:dyDescent="0.2"/>
    <row r="48" spans="1:8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</sheetData>
  <mergeCells count="68">
    <mergeCell ref="AS43:BG43"/>
    <mergeCell ref="AS44:BG44"/>
    <mergeCell ref="AS45:BG45"/>
    <mergeCell ref="BL44:BW44"/>
    <mergeCell ref="BL45:BW45"/>
    <mergeCell ref="BL43:BW43"/>
    <mergeCell ref="D45:R45"/>
    <mergeCell ref="Z45:AN45"/>
    <mergeCell ref="B35:C35"/>
    <mergeCell ref="B36:C36"/>
    <mergeCell ref="B37:C37"/>
    <mergeCell ref="B39:C39"/>
    <mergeCell ref="B40:C40"/>
    <mergeCell ref="D43:R43"/>
    <mergeCell ref="Z43:AN43"/>
    <mergeCell ref="D44:R44"/>
    <mergeCell ref="Z44:AN44"/>
    <mergeCell ref="B38:C38"/>
    <mergeCell ref="B34:C34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22:C22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U6:BU10"/>
    <mergeCell ref="BV6:BV10"/>
    <mergeCell ref="BW6:BW10"/>
    <mergeCell ref="BX6:BX10"/>
    <mergeCell ref="BY6:BY10"/>
    <mergeCell ref="A7:C7"/>
    <mergeCell ref="D7:V8"/>
    <mergeCell ref="W7:AR8"/>
    <mergeCell ref="AS7:BO8"/>
    <mergeCell ref="BP7:BT8"/>
    <mergeCell ref="A8:A10"/>
    <mergeCell ref="D9:V9"/>
    <mergeCell ref="W9:AR9"/>
    <mergeCell ref="AS9:BO9"/>
    <mergeCell ref="BP9:BT9"/>
    <mergeCell ref="B10:C10"/>
    <mergeCell ref="A1:BY1"/>
    <mergeCell ref="A2:BY2"/>
    <mergeCell ref="A3:BY3"/>
    <mergeCell ref="A4:BY4"/>
    <mergeCell ref="A5:BY5"/>
    <mergeCell ref="A6:C6"/>
    <mergeCell ref="D6:V6"/>
    <mergeCell ref="W6:AR6"/>
    <mergeCell ref="AS6:BO6"/>
    <mergeCell ref="BP6:BT6"/>
  </mergeCells>
  <conditionalFormatting sqref="D11:BT40">
    <cfRule type="containsText" dxfId="26" priority="5" operator="containsText" text="F">
      <formula>NOT(ISERROR(SEARCH("F",D11)))</formula>
    </cfRule>
    <cfRule type="containsText" dxfId="25" priority="6" operator="containsText" text="AT">
      <formula>NOT(ISERROR(SEARCH("AT",D11)))</formula>
    </cfRule>
    <cfRule type="containsText" dxfId="24" priority="7" operator="containsText" text="A">
      <formula>NOT(ISERROR(SEARCH("A",D11)))</formula>
    </cfRule>
    <cfRule type="containsText" dxfId="23" priority="8" operator="containsText" text="J">
      <formula>NOT(ISERROR(SEARCH("J",D11)))</formula>
    </cfRule>
  </conditionalFormatting>
  <conditionalFormatting sqref="BU11:BU40">
    <cfRule type="cellIs" dxfId="22" priority="4" operator="between">
      <formula>1</formula>
      <formula>999999</formula>
    </cfRule>
  </conditionalFormatting>
  <conditionalFormatting sqref="BV11:BV40">
    <cfRule type="cellIs" dxfId="21" priority="3" operator="between">
      <formula>1</formula>
      <formula>99999</formula>
    </cfRule>
  </conditionalFormatting>
  <conditionalFormatting sqref="BW11:BW40">
    <cfRule type="cellIs" dxfId="20" priority="2" operator="between">
      <formula>1</formula>
      <formula>99999</formula>
    </cfRule>
  </conditionalFormatting>
  <conditionalFormatting sqref="BX11:BX40">
    <cfRule type="cellIs" dxfId="19" priority="1" operator="between">
      <formula>1</formula>
      <formula>99999</formula>
    </cfRule>
  </conditionalFormatting>
  <hyperlinks>
    <hyperlink ref="A3" r:id="rId1" xr:uid="{163B1DC4-4C5D-4675-9514-C7657CA0682E}"/>
    <hyperlink ref="A4" r:id="rId2" display="AÑO LECTIVO 2024-2025" xr:uid="{915A1B9B-7148-4F4D-A538-2CA453E27DA5}"/>
  </hyperlinks>
  <printOptions horizontalCentered="1" verticalCentered="1"/>
  <pageMargins left="0.70866141732283472" right="0.70866141732283472" top="0.74803149606299213" bottom="0.74803149606299213" header="0" footer="0"/>
  <pageSetup paperSize="9" scale="49"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8380-D69B-4BEC-BD4B-DE004D265CAD}">
  <sheetPr>
    <tabColor theme="4" tint="0.59999389629810485"/>
  </sheetPr>
  <dimension ref="A1:CC993"/>
  <sheetViews>
    <sheetView topLeftCell="A34" zoomScaleNormal="100" workbookViewId="0">
      <selection activeCell="N50" sqref="A50:N50"/>
    </sheetView>
  </sheetViews>
  <sheetFormatPr baseColWidth="10" defaultColWidth="14.5" defaultRowHeight="15" customHeight="1" x14ac:dyDescent="0.2"/>
  <cols>
    <col min="1" max="1" width="4" customWidth="1"/>
    <col min="2" max="2" width="10.33203125" customWidth="1"/>
    <col min="3" max="3" width="33.5" customWidth="1"/>
    <col min="4" max="4" width="2.83203125" customWidth="1"/>
    <col min="5" max="22" width="2.6640625" customWidth="1"/>
    <col min="23" max="23" width="2.83203125" customWidth="1"/>
    <col min="24" max="25" width="2.6640625" customWidth="1"/>
    <col min="26" max="28" width="3" customWidth="1"/>
    <col min="29" max="30" width="2.83203125" customWidth="1"/>
    <col min="31" max="31" width="3.1640625" customWidth="1"/>
    <col min="32" max="33" width="3" customWidth="1"/>
    <col min="34" max="34" width="3.1640625" customWidth="1"/>
    <col min="35" max="36" width="2.83203125" customWidth="1"/>
    <col min="37" max="39" width="3.1640625" customWidth="1"/>
    <col min="40" max="61" width="2.83203125" customWidth="1"/>
    <col min="62" max="64" width="3.33203125" customWidth="1"/>
    <col min="65" max="68" width="4" customWidth="1"/>
    <col min="69" max="69" width="4.5" customWidth="1"/>
  </cols>
  <sheetData>
    <row r="1" spans="1:69" ht="28" x14ac:dyDescent="0.2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</row>
    <row r="2" spans="1:69" x14ac:dyDescent="0.2">
      <c r="A2" s="45" t="s">
        <v>45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</row>
    <row r="3" spans="1:69" x14ac:dyDescent="0.2">
      <c r="A3" s="45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</row>
    <row r="4" spans="1:69" ht="16" x14ac:dyDescent="0.2">
      <c r="A4" s="47" t="s">
        <v>34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</row>
    <row r="5" spans="1:69" ht="30.75" customHeight="1" thickBot="1" x14ac:dyDescent="0.25">
      <c r="A5" s="43" t="s">
        <v>46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</row>
    <row r="6" spans="1:69" ht="24" customHeight="1" thickBot="1" x14ac:dyDescent="0.35">
      <c r="A6" s="35" t="s">
        <v>23</v>
      </c>
      <c r="B6" s="36"/>
      <c r="C6" s="36"/>
      <c r="D6" s="38" t="s">
        <v>2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40"/>
      <c r="S6" s="41" t="s">
        <v>2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42"/>
      <c r="AM6" s="42"/>
      <c r="AN6" s="40"/>
      <c r="AO6" s="41" t="s">
        <v>2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40"/>
      <c r="BJ6" s="41" t="s">
        <v>2</v>
      </c>
      <c r="BK6" s="39"/>
      <c r="BL6" s="39"/>
      <c r="BM6" s="79" t="s">
        <v>28</v>
      </c>
      <c r="BN6" s="82" t="s">
        <v>25</v>
      </c>
      <c r="BO6" s="85" t="s">
        <v>26</v>
      </c>
      <c r="BP6" s="88" t="s">
        <v>27</v>
      </c>
      <c r="BQ6" s="91" t="s">
        <v>47</v>
      </c>
    </row>
    <row r="7" spans="1:69" ht="19.5" customHeight="1" thickBot="1" x14ac:dyDescent="0.25">
      <c r="A7" s="49">
        <f>+'1ER TRIMESTRE'!A7</f>
        <v>0</v>
      </c>
      <c r="B7" s="50"/>
      <c r="C7" s="50"/>
      <c r="D7" s="52" t="s">
        <v>6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4"/>
      <c r="S7" s="58" t="s">
        <v>14</v>
      </c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9"/>
      <c r="AM7" s="59"/>
      <c r="AN7" s="54"/>
      <c r="AO7" s="62" t="s">
        <v>15</v>
      </c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4"/>
      <c r="BJ7" s="68" t="s">
        <v>36</v>
      </c>
      <c r="BK7" s="63"/>
      <c r="BL7" s="63"/>
      <c r="BM7" s="80"/>
      <c r="BN7" s="83"/>
      <c r="BO7" s="86"/>
      <c r="BP7" s="89"/>
      <c r="BQ7" s="92"/>
    </row>
    <row r="8" spans="1:69" ht="18.75" customHeight="1" thickBot="1" x14ac:dyDescent="0.25">
      <c r="A8" s="70" t="s">
        <v>7</v>
      </c>
      <c r="B8" s="3" t="s">
        <v>8</v>
      </c>
      <c r="C8" s="3" t="s">
        <v>9</v>
      </c>
      <c r="D8" s="55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7"/>
      <c r="S8" s="60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61"/>
      <c r="AM8" s="61"/>
      <c r="AN8" s="57"/>
      <c r="AO8" s="65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7"/>
      <c r="BJ8" s="69"/>
      <c r="BK8" s="66"/>
      <c r="BL8" s="66"/>
      <c r="BM8" s="80"/>
      <c r="BN8" s="83"/>
      <c r="BO8" s="86"/>
      <c r="BP8" s="89"/>
      <c r="BQ8" s="92"/>
    </row>
    <row r="9" spans="1:69" ht="22.5" customHeight="1" thickBot="1" x14ac:dyDescent="0.25">
      <c r="A9" s="71"/>
      <c r="B9" s="25" t="str">
        <f>+'1ER TRIMESTRE'!B9</f>
        <v>MATUTINA</v>
      </c>
      <c r="C9" s="25">
        <f>+'1ER TRIMESTRE'!C9</f>
        <v>0</v>
      </c>
      <c r="D9" s="73" t="s">
        <v>35</v>
      </c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5"/>
      <c r="S9" s="76" t="s">
        <v>17</v>
      </c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7"/>
      <c r="AM9" s="77"/>
      <c r="AN9" s="75"/>
      <c r="AO9" s="73" t="s">
        <v>16</v>
      </c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5"/>
      <c r="BJ9" s="76" t="s">
        <v>37</v>
      </c>
      <c r="BK9" s="74"/>
      <c r="BL9" s="74"/>
      <c r="BM9" s="80"/>
      <c r="BN9" s="83"/>
      <c r="BO9" s="86"/>
      <c r="BP9" s="89"/>
      <c r="BQ9" s="92"/>
    </row>
    <row r="10" spans="1:69" ht="18.75" customHeight="1" thickBot="1" x14ac:dyDescent="0.25">
      <c r="A10" s="72"/>
      <c r="B10" s="78" t="s">
        <v>13</v>
      </c>
      <c r="C10" s="36"/>
      <c r="D10" s="7">
        <v>11</v>
      </c>
      <c r="E10" s="7">
        <v>12</v>
      </c>
      <c r="F10" s="7">
        <v>13</v>
      </c>
      <c r="G10" s="7">
        <v>14</v>
      </c>
      <c r="H10" s="7">
        <v>17</v>
      </c>
      <c r="I10" s="7">
        <v>18</v>
      </c>
      <c r="J10" s="7">
        <v>19</v>
      </c>
      <c r="K10" s="7">
        <v>20</v>
      </c>
      <c r="L10" s="7">
        <v>21</v>
      </c>
      <c r="M10" s="7">
        <v>24</v>
      </c>
      <c r="N10" s="7">
        <v>25</v>
      </c>
      <c r="O10" s="7">
        <v>26</v>
      </c>
      <c r="P10" s="7">
        <v>27</v>
      </c>
      <c r="Q10" s="7">
        <v>28</v>
      </c>
      <c r="R10" s="7">
        <v>31</v>
      </c>
      <c r="S10" s="5">
        <v>1</v>
      </c>
      <c r="T10" s="4">
        <v>2</v>
      </c>
      <c r="U10" s="4">
        <v>3</v>
      </c>
      <c r="V10" s="4">
        <v>4</v>
      </c>
      <c r="W10" s="4">
        <v>7</v>
      </c>
      <c r="X10" s="4">
        <v>8</v>
      </c>
      <c r="Y10" s="4">
        <v>9</v>
      </c>
      <c r="Z10" s="4">
        <v>10</v>
      </c>
      <c r="AA10" s="4">
        <v>11</v>
      </c>
      <c r="AB10" s="4">
        <v>14</v>
      </c>
      <c r="AC10" s="4">
        <v>15</v>
      </c>
      <c r="AD10" s="4">
        <v>16</v>
      </c>
      <c r="AE10" s="4">
        <v>17</v>
      </c>
      <c r="AF10" s="4">
        <v>18</v>
      </c>
      <c r="AG10" s="4">
        <v>21</v>
      </c>
      <c r="AH10" s="4">
        <v>22</v>
      </c>
      <c r="AI10" s="4">
        <v>23</v>
      </c>
      <c r="AJ10" s="19">
        <v>24</v>
      </c>
      <c r="AK10" s="19">
        <v>25</v>
      </c>
      <c r="AL10" s="19">
        <v>28</v>
      </c>
      <c r="AM10" s="19">
        <v>29</v>
      </c>
      <c r="AN10" s="4">
        <v>30</v>
      </c>
      <c r="AO10" s="20">
        <v>1</v>
      </c>
      <c r="AP10" s="21">
        <v>2</v>
      </c>
      <c r="AQ10" s="21">
        <v>5</v>
      </c>
      <c r="AR10" s="21">
        <v>6</v>
      </c>
      <c r="AS10" s="21">
        <v>7</v>
      </c>
      <c r="AT10" s="21">
        <v>8</v>
      </c>
      <c r="AU10" s="21">
        <v>12</v>
      </c>
      <c r="AV10" s="21">
        <v>13</v>
      </c>
      <c r="AW10" s="21">
        <v>14</v>
      </c>
      <c r="AX10" s="21">
        <v>15</v>
      </c>
      <c r="AY10" s="21">
        <v>16</v>
      </c>
      <c r="AZ10" s="21">
        <v>19</v>
      </c>
      <c r="BA10" s="21">
        <v>20</v>
      </c>
      <c r="BB10" s="21">
        <v>21</v>
      </c>
      <c r="BC10" s="21">
        <v>22</v>
      </c>
      <c r="BD10" s="21">
        <v>23</v>
      </c>
      <c r="BE10" s="21">
        <v>26</v>
      </c>
      <c r="BF10" s="21">
        <v>27</v>
      </c>
      <c r="BG10" s="21">
        <v>28</v>
      </c>
      <c r="BH10" s="21">
        <v>29</v>
      </c>
      <c r="BI10" s="4">
        <v>30</v>
      </c>
      <c r="BJ10" s="4">
        <v>4</v>
      </c>
      <c r="BK10" s="4">
        <v>5</v>
      </c>
      <c r="BL10" s="4">
        <v>6</v>
      </c>
      <c r="BM10" s="81"/>
      <c r="BN10" s="84"/>
      <c r="BO10" s="87"/>
      <c r="BP10" s="90"/>
      <c r="BQ10" s="93"/>
    </row>
    <row r="11" spans="1:69" ht="20.25" customHeight="1" thickBot="1" x14ac:dyDescent="0.25">
      <c r="A11" s="1">
        <v>1</v>
      </c>
      <c r="B11" s="94" t="str">
        <f>+'1ER TRIMESTRE'!B11</f>
        <v xml:space="preserve">AGUILAR ORELLANA  FREDDY JOEL </v>
      </c>
      <c r="C11" s="95"/>
      <c r="D11" s="11" t="s">
        <v>24</v>
      </c>
      <c r="E11" s="12" t="s">
        <v>24</v>
      </c>
      <c r="F11" s="12" t="s">
        <v>24</v>
      </c>
      <c r="G11" s="12" t="s">
        <v>24</v>
      </c>
      <c r="H11" s="12" t="s">
        <v>24</v>
      </c>
      <c r="I11" s="12" t="s">
        <v>24</v>
      </c>
      <c r="J11" s="12" t="s">
        <v>24</v>
      </c>
      <c r="K11" s="12" t="s">
        <v>24</v>
      </c>
      <c r="L11" s="12" t="s">
        <v>24</v>
      </c>
      <c r="M11" s="12" t="s">
        <v>24</v>
      </c>
      <c r="N11" s="12" t="s">
        <v>24</v>
      </c>
      <c r="O11" s="12" t="s">
        <v>24</v>
      </c>
      <c r="P11" s="12" t="s">
        <v>24</v>
      </c>
      <c r="Q11" s="12" t="s">
        <v>24</v>
      </c>
      <c r="R11" s="13" t="s">
        <v>24</v>
      </c>
      <c r="S11" s="12" t="s">
        <v>24</v>
      </c>
      <c r="T11" s="12" t="s">
        <v>24</v>
      </c>
      <c r="U11" s="12" t="s">
        <v>24</v>
      </c>
      <c r="V11" s="12" t="s">
        <v>24</v>
      </c>
      <c r="W11" s="12" t="s">
        <v>24</v>
      </c>
      <c r="X11" s="12" t="s">
        <v>24</v>
      </c>
      <c r="Y11" s="12" t="s">
        <v>24</v>
      </c>
      <c r="Z11" s="12" t="s">
        <v>24</v>
      </c>
      <c r="AA11" s="12" t="s">
        <v>24</v>
      </c>
      <c r="AB11" s="12" t="s">
        <v>24</v>
      </c>
      <c r="AC11" s="12" t="s">
        <v>24</v>
      </c>
      <c r="AD11" s="12" t="s">
        <v>24</v>
      </c>
      <c r="AE11" s="12" t="s">
        <v>24</v>
      </c>
      <c r="AF11" s="12" t="s">
        <v>24</v>
      </c>
      <c r="AG11" s="12" t="s">
        <v>24</v>
      </c>
      <c r="AH11" s="12" t="s">
        <v>24</v>
      </c>
      <c r="AI11" s="12" t="s">
        <v>24</v>
      </c>
      <c r="AJ11" s="12" t="s">
        <v>24</v>
      </c>
      <c r="AK11" s="12" t="s">
        <v>24</v>
      </c>
      <c r="AL11" s="12" t="s">
        <v>24</v>
      </c>
      <c r="AM11" s="12" t="s">
        <v>24</v>
      </c>
      <c r="AN11" s="13" t="s">
        <v>24</v>
      </c>
      <c r="AO11" s="12" t="s">
        <v>24</v>
      </c>
      <c r="AP11" s="12" t="s">
        <v>24</v>
      </c>
      <c r="AQ11" s="12" t="s">
        <v>24</v>
      </c>
      <c r="AR11" s="12" t="s">
        <v>24</v>
      </c>
      <c r="AS11" s="12" t="s">
        <v>24</v>
      </c>
      <c r="AT11" s="12" t="s">
        <v>24</v>
      </c>
      <c r="AU11" s="12" t="s">
        <v>24</v>
      </c>
      <c r="AV11" s="12" t="s">
        <v>24</v>
      </c>
      <c r="AW11" s="12" t="s">
        <v>24</v>
      </c>
      <c r="AX11" s="12" t="s">
        <v>24</v>
      </c>
      <c r="AY11" s="12" t="s">
        <v>24</v>
      </c>
      <c r="AZ11" s="12" t="s">
        <v>24</v>
      </c>
      <c r="BA11" s="12" t="s">
        <v>24</v>
      </c>
      <c r="BB11" s="12" t="s">
        <v>24</v>
      </c>
      <c r="BC11" s="12" t="s">
        <v>24</v>
      </c>
      <c r="BD11" s="12" t="s">
        <v>24</v>
      </c>
      <c r="BE11" s="12" t="s">
        <v>24</v>
      </c>
      <c r="BF11" s="12" t="s">
        <v>24</v>
      </c>
      <c r="BG11" s="12" t="s">
        <v>24</v>
      </c>
      <c r="BH11" s="12" t="s">
        <v>24</v>
      </c>
      <c r="BI11" s="13" t="s">
        <v>24</v>
      </c>
      <c r="BJ11" s="12" t="s">
        <v>24</v>
      </c>
      <c r="BK11" s="12" t="s">
        <v>24</v>
      </c>
      <c r="BL11" s="12" t="s">
        <v>24</v>
      </c>
      <c r="BM11" s="17">
        <f>COUNTIF(D11:BL11,"AT")</f>
        <v>0</v>
      </c>
      <c r="BN11" s="17" cm="1">
        <f t="array" ref="BN11">SUM(COUNTIF(D11:BL11,{"A";"AT"}))</f>
        <v>61</v>
      </c>
      <c r="BO11" s="17">
        <f>COUNTIF(D11:BL11,"J")</f>
        <v>0</v>
      </c>
      <c r="BP11" s="17">
        <f>COUNTIF(D11:BL11,"F")</f>
        <v>0</v>
      </c>
      <c r="BQ11" s="18">
        <f>SUM(BN11:BP11)</f>
        <v>61</v>
      </c>
    </row>
    <row r="12" spans="1:69" ht="20.25" customHeight="1" thickBot="1" x14ac:dyDescent="0.25">
      <c r="A12" s="1">
        <v>2</v>
      </c>
      <c r="B12" s="94">
        <f>+'1ER TRIMESTRE'!B12</f>
        <v>0</v>
      </c>
      <c r="C12" s="95"/>
      <c r="D12" s="11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  <c r="J12" s="12" t="s">
        <v>24</v>
      </c>
      <c r="K12" s="12" t="s">
        <v>24</v>
      </c>
      <c r="L12" s="12" t="s">
        <v>24</v>
      </c>
      <c r="M12" s="12" t="s">
        <v>24</v>
      </c>
      <c r="N12" s="12" t="s">
        <v>24</v>
      </c>
      <c r="O12" s="12" t="s">
        <v>24</v>
      </c>
      <c r="P12" s="12" t="s">
        <v>24</v>
      </c>
      <c r="Q12" s="12" t="s">
        <v>24</v>
      </c>
      <c r="R12" s="13" t="s">
        <v>24</v>
      </c>
      <c r="S12" s="12" t="s">
        <v>24</v>
      </c>
      <c r="T12" s="12" t="s">
        <v>24</v>
      </c>
      <c r="U12" s="12" t="s">
        <v>24</v>
      </c>
      <c r="V12" s="12" t="s">
        <v>24</v>
      </c>
      <c r="W12" s="12" t="s">
        <v>24</v>
      </c>
      <c r="X12" s="12" t="s">
        <v>24</v>
      </c>
      <c r="Y12" s="12" t="s">
        <v>24</v>
      </c>
      <c r="Z12" s="12" t="s">
        <v>24</v>
      </c>
      <c r="AA12" s="12" t="s">
        <v>24</v>
      </c>
      <c r="AB12" s="12" t="s">
        <v>24</v>
      </c>
      <c r="AC12" s="12" t="s">
        <v>24</v>
      </c>
      <c r="AD12" s="12" t="s">
        <v>24</v>
      </c>
      <c r="AE12" s="12" t="s">
        <v>24</v>
      </c>
      <c r="AF12" s="12" t="s">
        <v>24</v>
      </c>
      <c r="AG12" s="12" t="s">
        <v>24</v>
      </c>
      <c r="AH12" s="12" t="s">
        <v>24</v>
      </c>
      <c r="AI12" s="12" t="s">
        <v>24</v>
      </c>
      <c r="AJ12" s="12" t="s">
        <v>24</v>
      </c>
      <c r="AK12" s="12" t="s">
        <v>24</v>
      </c>
      <c r="AL12" s="12" t="s">
        <v>24</v>
      </c>
      <c r="AM12" s="12" t="s">
        <v>24</v>
      </c>
      <c r="AN12" s="13" t="s">
        <v>24</v>
      </c>
      <c r="AO12" s="12" t="s">
        <v>24</v>
      </c>
      <c r="AP12" s="12" t="s">
        <v>24</v>
      </c>
      <c r="AQ12" s="12" t="s">
        <v>24</v>
      </c>
      <c r="AR12" s="12" t="s">
        <v>24</v>
      </c>
      <c r="AS12" s="12" t="s">
        <v>24</v>
      </c>
      <c r="AT12" s="12" t="s">
        <v>24</v>
      </c>
      <c r="AU12" s="12" t="s">
        <v>24</v>
      </c>
      <c r="AV12" s="12" t="s">
        <v>24</v>
      </c>
      <c r="AW12" s="12" t="s">
        <v>24</v>
      </c>
      <c r="AX12" s="12" t="s">
        <v>24</v>
      </c>
      <c r="AY12" s="12" t="s">
        <v>24</v>
      </c>
      <c r="AZ12" s="12" t="s">
        <v>24</v>
      </c>
      <c r="BA12" s="12" t="s">
        <v>24</v>
      </c>
      <c r="BB12" s="12" t="s">
        <v>24</v>
      </c>
      <c r="BC12" s="12" t="s">
        <v>24</v>
      </c>
      <c r="BD12" s="12" t="s">
        <v>24</v>
      </c>
      <c r="BE12" s="12" t="s">
        <v>24</v>
      </c>
      <c r="BF12" s="12" t="s">
        <v>24</v>
      </c>
      <c r="BG12" s="12" t="s">
        <v>24</v>
      </c>
      <c r="BH12" s="12" t="s">
        <v>24</v>
      </c>
      <c r="BI12" s="13" t="s">
        <v>24</v>
      </c>
      <c r="BJ12" s="12" t="s">
        <v>24</v>
      </c>
      <c r="BK12" s="12" t="s">
        <v>24</v>
      </c>
      <c r="BL12" s="12" t="s">
        <v>24</v>
      </c>
      <c r="BM12" s="17">
        <f t="shared" ref="BM12:BM40" si="0">COUNTIF(D12:BL12,"AT")</f>
        <v>0</v>
      </c>
      <c r="BN12" s="17" cm="1">
        <f t="array" ref="BN12">SUM(COUNTIF(D12:BL12,{"A";"AT"}))</f>
        <v>61</v>
      </c>
      <c r="BO12" s="17">
        <f t="shared" ref="BO12:BO40" si="1">COUNTIF(D12:BL12,"J")</f>
        <v>0</v>
      </c>
      <c r="BP12" s="17">
        <f t="shared" ref="BP12:BP40" si="2">COUNTIF(D12:BL12,"F")</f>
        <v>0</v>
      </c>
      <c r="BQ12" s="18">
        <f t="shared" ref="BQ12:BQ40" si="3">SUM(BN12:BP12)</f>
        <v>61</v>
      </c>
    </row>
    <row r="13" spans="1:69" ht="20.25" customHeight="1" thickBot="1" x14ac:dyDescent="0.25">
      <c r="A13" s="1">
        <v>3</v>
      </c>
      <c r="B13" s="94">
        <f>+'1ER TRIMESTRE'!B13</f>
        <v>0</v>
      </c>
      <c r="C13" s="95"/>
      <c r="D13" s="11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  <c r="J13" s="12" t="s">
        <v>24</v>
      </c>
      <c r="K13" s="12" t="s">
        <v>24</v>
      </c>
      <c r="L13" s="12" t="s">
        <v>24</v>
      </c>
      <c r="M13" s="12" t="s">
        <v>24</v>
      </c>
      <c r="N13" s="12" t="s">
        <v>24</v>
      </c>
      <c r="O13" s="12" t="s">
        <v>24</v>
      </c>
      <c r="P13" s="12" t="s">
        <v>24</v>
      </c>
      <c r="Q13" s="12" t="s">
        <v>24</v>
      </c>
      <c r="R13" s="13" t="s">
        <v>24</v>
      </c>
      <c r="S13" s="12" t="s">
        <v>24</v>
      </c>
      <c r="T13" s="12" t="s">
        <v>24</v>
      </c>
      <c r="U13" s="12" t="s">
        <v>24</v>
      </c>
      <c r="V13" s="12" t="s">
        <v>24</v>
      </c>
      <c r="W13" s="12" t="s">
        <v>24</v>
      </c>
      <c r="X13" s="12" t="s">
        <v>24</v>
      </c>
      <c r="Y13" s="12" t="s">
        <v>24</v>
      </c>
      <c r="Z13" s="12" t="s">
        <v>24</v>
      </c>
      <c r="AA13" s="12" t="s">
        <v>24</v>
      </c>
      <c r="AB13" s="12" t="s">
        <v>24</v>
      </c>
      <c r="AC13" s="12" t="s">
        <v>24</v>
      </c>
      <c r="AD13" s="12" t="s">
        <v>24</v>
      </c>
      <c r="AE13" s="12" t="s">
        <v>24</v>
      </c>
      <c r="AF13" s="12" t="s">
        <v>24</v>
      </c>
      <c r="AG13" s="12" t="s">
        <v>24</v>
      </c>
      <c r="AH13" s="12" t="s">
        <v>24</v>
      </c>
      <c r="AI13" s="12" t="s">
        <v>24</v>
      </c>
      <c r="AJ13" s="12" t="s">
        <v>24</v>
      </c>
      <c r="AK13" s="12" t="s">
        <v>24</v>
      </c>
      <c r="AL13" s="12" t="s">
        <v>24</v>
      </c>
      <c r="AM13" s="12" t="s">
        <v>24</v>
      </c>
      <c r="AN13" s="13" t="s">
        <v>24</v>
      </c>
      <c r="AO13" s="12" t="s">
        <v>24</v>
      </c>
      <c r="AP13" s="12" t="s">
        <v>24</v>
      </c>
      <c r="AQ13" s="12" t="s">
        <v>24</v>
      </c>
      <c r="AR13" s="12" t="s">
        <v>24</v>
      </c>
      <c r="AS13" s="12" t="s">
        <v>24</v>
      </c>
      <c r="AT13" s="12" t="s">
        <v>24</v>
      </c>
      <c r="AU13" s="12" t="s">
        <v>24</v>
      </c>
      <c r="AV13" s="12" t="s">
        <v>24</v>
      </c>
      <c r="AW13" s="12" t="s">
        <v>24</v>
      </c>
      <c r="AX13" s="12" t="s">
        <v>24</v>
      </c>
      <c r="AY13" s="12" t="s">
        <v>24</v>
      </c>
      <c r="AZ13" s="12" t="s">
        <v>24</v>
      </c>
      <c r="BA13" s="12" t="s">
        <v>24</v>
      </c>
      <c r="BB13" s="12" t="s">
        <v>24</v>
      </c>
      <c r="BC13" s="12" t="s">
        <v>24</v>
      </c>
      <c r="BD13" s="12" t="s">
        <v>24</v>
      </c>
      <c r="BE13" s="12" t="s">
        <v>24</v>
      </c>
      <c r="BF13" s="12" t="s">
        <v>24</v>
      </c>
      <c r="BG13" s="12" t="s">
        <v>24</v>
      </c>
      <c r="BH13" s="12" t="s">
        <v>24</v>
      </c>
      <c r="BI13" s="13" t="s">
        <v>24</v>
      </c>
      <c r="BJ13" s="12" t="s">
        <v>24</v>
      </c>
      <c r="BK13" s="12" t="s">
        <v>24</v>
      </c>
      <c r="BL13" s="12" t="s">
        <v>24</v>
      </c>
      <c r="BM13" s="17">
        <f t="shared" si="0"/>
        <v>0</v>
      </c>
      <c r="BN13" s="17" cm="1">
        <f t="array" ref="BN13">SUM(COUNTIF(D13:BL13,{"A";"AT"}))</f>
        <v>61</v>
      </c>
      <c r="BO13" s="17">
        <f t="shared" si="1"/>
        <v>0</v>
      </c>
      <c r="BP13" s="17">
        <f t="shared" si="2"/>
        <v>0</v>
      </c>
      <c r="BQ13" s="18">
        <f t="shared" si="3"/>
        <v>61</v>
      </c>
    </row>
    <row r="14" spans="1:69" ht="20.25" customHeight="1" thickBot="1" x14ac:dyDescent="0.25">
      <c r="A14" s="1">
        <v>4</v>
      </c>
      <c r="B14" s="94">
        <f>+'1ER TRIMESTRE'!B14</f>
        <v>0</v>
      </c>
      <c r="C14" s="95"/>
      <c r="D14" s="11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  <c r="J14" s="12" t="s">
        <v>24</v>
      </c>
      <c r="K14" s="12" t="s">
        <v>24</v>
      </c>
      <c r="L14" s="12" t="s">
        <v>24</v>
      </c>
      <c r="M14" s="12" t="s">
        <v>24</v>
      </c>
      <c r="N14" s="12" t="s">
        <v>24</v>
      </c>
      <c r="O14" s="12" t="s">
        <v>24</v>
      </c>
      <c r="P14" s="12" t="s">
        <v>24</v>
      </c>
      <c r="Q14" s="12" t="s">
        <v>24</v>
      </c>
      <c r="R14" s="13" t="s">
        <v>24</v>
      </c>
      <c r="S14" s="12" t="s">
        <v>24</v>
      </c>
      <c r="T14" s="12" t="s">
        <v>24</v>
      </c>
      <c r="U14" s="12" t="s">
        <v>24</v>
      </c>
      <c r="V14" s="12" t="s">
        <v>24</v>
      </c>
      <c r="W14" s="12" t="s">
        <v>24</v>
      </c>
      <c r="X14" s="12" t="s">
        <v>24</v>
      </c>
      <c r="Y14" s="12" t="s">
        <v>24</v>
      </c>
      <c r="Z14" s="12" t="s">
        <v>24</v>
      </c>
      <c r="AA14" s="12" t="s">
        <v>24</v>
      </c>
      <c r="AB14" s="12" t="s">
        <v>24</v>
      </c>
      <c r="AC14" s="12" t="s">
        <v>24</v>
      </c>
      <c r="AD14" s="12" t="s">
        <v>24</v>
      </c>
      <c r="AE14" s="12" t="s">
        <v>24</v>
      </c>
      <c r="AF14" s="12" t="s">
        <v>24</v>
      </c>
      <c r="AG14" s="12" t="s">
        <v>24</v>
      </c>
      <c r="AH14" s="12" t="s">
        <v>24</v>
      </c>
      <c r="AI14" s="12" t="s">
        <v>24</v>
      </c>
      <c r="AJ14" s="12" t="s">
        <v>24</v>
      </c>
      <c r="AK14" s="12" t="s">
        <v>24</v>
      </c>
      <c r="AL14" s="12" t="s">
        <v>24</v>
      </c>
      <c r="AM14" s="12" t="s">
        <v>24</v>
      </c>
      <c r="AN14" s="13" t="s">
        <v>24</v>
      </c>
      <c r="AO14" s="12" t="s">
        <v>24</v>
      </c>
      <c r="AP14" s="12" t="s">
        <v>24</v>
      </c>
      <c r="AQ14" s="12" t="s">
        <v>24</v>
      </c>
      <c r="AR14" s="12" t="s">
        <v>24</v>
      </c>
      <c r="AS14" s="12" t="s">
        <v>24</v>
      </c>
      <c r="AT14" s="12" t="s">
        <v>24</v>
      </c>
      <c r="AU14" s="12" t="s">
        <v>24</v>
      </c>
      <c r="AV14" s="12" t="s">
        <v>24</v>
      </c>
      <c r="AW14" s="12" t="s">
        <v>24</v>
      </c>
      <c r="AX14" s="12" t="s">
        <v>24</v>
      </c>
      <c r="AY14" s="12" t="s">
        <v>24</v>
      </c>
      <c r="AZ14" s="12" t="s">
        <v>24</v>
      </c>
      <c r="BA14" s="12" t="s">
        <v>24</v>
      </c>
      <c r="BB14" s="12" t="s">
        <v>24</v>
      </c>
      <c r="BC14" s="12" t="s">
        <v>24</v>
      </c>
      <c r="BD14" s="12" t="s">
        <v>24</v>
      </c>
      <c r="BE14" s="12" t="s">
        <v>24</v>
      </c>
      <c r="BF14" s="12" t="s">
        <v>24</v>
      </c>
      <c r="BG14" s="12" t="s">
        <v>24</v>
      </c>
      <c r="BH14" s="12" t="s">
        <v>24</v>
      </c>
      <c r="BI14" s="13" t="s">
        <v>24</v>
      </c>
      <c r="BJ14" s="12" t="s">
        <v>24</v>
      </c>
      <c r="BK14" s="12" t="s">
        <v>24</v>
      </c>
      <c r="BL14" s="12" t="s">
        <v>24</v>
      </c>
      <c r="BM14" s="17">
        <f t="shared" si="0"/>
        <v>0</v>
      </c>
      <c r="BN14" s="17" cm="1">
        <f t="array" ref="BN14">SUM(COUNTIF(D14:BL14,{"A";"AT"}))</f>
        <v>61</v>
      </c>
      <c r="BO14" s="17">
        <f t="shared" si="1"/>
        <v>0</v>
      </c>
      <c r="BP14" s="17">
        <f t="shared" si="2"/>
        <v>0</v>
      </c>
      <c r="BQ14" s="18">
        <f t="shared" si="3"/>
        <v>61</v>
      </c>
    </row>
    <row r="15" spans="1:69" ht="20.25" customHeight="1" thickBot="1" x14ac:dyDescent="0.25">
      <c r="A15" s="1">
        <v>5</v>
      </c>
      <c r="B15" s="94">
        <f>+'1ER TRIMESTRE'!B15</f>
        <v>0</v>
      </c>
      <c r="C15" s="95"/>
      <c r="D15" s="11" t="s">
        <v>24</v>
      </c>
      <c r="E15" s="12" t="s">
        <v>24</v>
      </c>
      <c r="F15" s="12" t="s">
        <v>24</v>
      </c>
      <c r="G15" s="12" t="s">
        <v>24</v>
      </c>
      <c r="H15" s="12" t="s">
        <v>24</v>
      </c>
      <c r="I15" s="12" t="s">
        <v>24</v>
      </c>
      <c r="J15" s="12" t="s">
        <v>24</v>
      </c>
      <c r="K15" s="12" t="s">
        <v>24</v>
      </c>
      <c r="L15" s="12" t="s">
        <v>24</v>
      </c>
      <c r="M15" s="12" t="s">
        <v>24</v>
      </c>
      <c r="N15" s="12" t="s">
        <v>24</v>
      </c>
      <c r="O15" s="12" t="s">
        <v>24</v>
      </c>
      <c r="P15" s="12" t="s">
        <v>24</v>
      </c>
      <c r="Q15" s="12" t="s">
        <v>24</v>
      </c>
      <c r="R15" s="13" t="s">
        <v>24</v>
      </c>
      <c r="S15" s="12" t="s">
        <v>24</v>
      </c>
      <c r="T15" s="12" t="s">
        <v>24</v>
      </c>
      <c r="U15" s="12" t="s">
        <v>24</v>
      </c>
      <c r="V15" s="12" t="s">
        <v>24</v>
      </c>
      <c r="W15" s="12" t="s">
        <v>24</v>
      </c>
      <c r="X15" s="12" t="s">
        <v>24</v>
      </c>
      <c r="Y15" s="12" t="s">
        <v>24</v>
      </c>
      <c r="Z15" s="12" t="s">
        <v>24</v>
      </c>
      <c r="AA15" s="12" t="s">
        <v>24</v>
      </c>
      <c r="AB15" s="12" t="s">
        <v>24</v>
      </c>
      <c r="AC15" s="12" t="s">
        <v>24</v>
      </c>
      <c r="AD15" s="12" t="s">
        <v>24</v>
      </c>
      <c r="AE15" s="12" t="s">
        <v>24</v>
      </c>
      <c r="AF15" s="12" t="s">
        <v>24</v>
      </c>
      <c r="AG15" s="12" t="s">
        <v>24</v>
      </c>
      <c r="AH15" s="12" t="s">
        <v>24</v>
      </c>
      <c r="AI15" s="12" t="s">
        <v>24</v>
      </c>
      <c r="AJ15" s="12" t="s">
        <v>24</v>
      </c>
      <c r="AK15" s="12" t="s">
        <v>24</v>
      </c>
      <c r="AL15" s="12" t="s">
        <v>24</v>
      </c>
      <c r="AM15" s="12" t="s">
        <v>24</v>
      </c>
      <c r="AN15" s="13" t="s">
        <v>24</v>
      </c>
      <c r="AO15" s="12" t="s">
        <v>24</v>
      </c>
      <c r="AP15" s="12" t="s">
        <v>24</v>
      </c>
      <c r="AQ15" s="12" t="s">
        <v>24</v>
      </c>
      <c r="AR15" s="12" t="s">
        <v>24</v>
      </c>
      <c r="AS15" s="12" t="s">
        <v>24</v>
      </c>
      <c r="AT15" s="12" t="s">
        <v>24</v>
      </c>
      <c r="AU15" s="12" t="s">
        <v>24</v>
      </c>
      <c r="AV15" s="12" t="s">
        <v>24</v>
      </c>
      <c r="AW15" s="12" t="s">
        <v>24</v>
      </c>
      <c r="AX15" s="12" t="s">
        <v>24</v>
      </c>
      <c r="AY15" s="12" t="s">
        <v>24</v>
      </c>
      <c r="AZ15" s="12" t="s">
        <v>24</v>
      </c>
      <c r="BA15" s="12" t="s">
        <v>24</v>
      </c>
      <c r="BB15" s="12" t="s">
        <v>24</v>
      </c>
      <c r="BC15" s="12" t="s">
        <v>24</v>
      </c>
      <c r="BD15" s="12" t="s">
        <v>24</v>
      </c>
      <c r="BE15" s="12" t="s">
        <v>24</v>
      </c>
      <c r="BF15" s="12" t="s">
        <v>24</v>
      </c>
      <c r="BG15" s="12" t="s">
        <v>24</v>
      </c>
      <c r="BH15" s="12" t="s">
        <v>24</v>
      </c>
      <c r="BI15" s="13" t="s">
        <v>24</v>
      </c>
      <c r="BJ15" s="12" t="s">
        <v>24</v>
      </c>
      <c r="BK15" s="12" t="s">
        <v>24</v>
      </c>
      <c r="BL15" s="12" t="s">
        <v>24</v>
      </c>
      <c r="BM15" s="17">
        <f t="shared" si="0"/>
        <v>0</v>
      </c>
      <c r="BN15" s="17" cm="1">
        <f t="array" ref="BN15">SUM(COUNTIF(D15:BL15,{"A";"AT"}))</f>
        <v>61</v>
      </c>
      <c r="BO15" s="17">
        <f t="shared" si="1"/>
        <v>0</v>
      </c>
      <c r="BP15" s="17">
        <f t="shared" si="2"/>
        <v>0</v>
      </c>
      <c r="BQ15" s="18">
        <f t="shared" si="3"/>
        <v>61</v>
      </c>
    </row>
    <row r="16" spans="1:69" ht="20.25" customHeight="1" thickBot="1" x14ac:dyDescent="0.25">
      <c r="A16" s="1">
        <v>6</v>
      </c>
      <c r="B16" s="94">
        <f>+'1ER TRIMESTRE'!B16</f>
        <v>0</v>
      </c>
      <c r="C16" s="95"/>
      <c r="D16" s="11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  <c r="J16" s="12" t="s">
        <v>24</v>
      </c>
      <c r="K16" s="12" t="s">
        <v>24</v>
      </c>
      <c r="L16" s="12" t="s">
        <v>24</v>
      </c>
      <c r="M16" s="12" t="s">
        <v>24</v>
      </c>
      <c r="N16" s="12" t="s">
        <v>24</v>
      </c>
      <c r="O16" s="12" t="s">
        <v>24</v>
      </c>
      <c r="P16" s="12" t="s">
        <v>24</v>
      </c>
      <c r="Q16" s="12" t="s">
        <v>24</v>
      </c>
      <c r="R16" s="13" t="s">
        <v>24</v>
      </c>
      <c r="S16" s="12" t="s">
        <v>24</v>
      </c>
      <c r="T16" s="12" t="s">
        <v>24</v>
      </c>
      <c r="U16" s="12" t="s">
        <v>24</v>
      </c>
      <c r="V16" s="12" t="s">
        <v>24</v>
      </c>
      <c r="W16" s="12" t="s">
        <v>24</v>
      </c>
      <c r="X16" s="12" t="s">
        <v>24</v>
      </c>
      <c r="Y16" s="12" t="s">
        <v>24</v>
      </c>
      <c r="Z16" s="12" t="s">
        <v>24</v>
      </c>
      <c r="AA16" s="12" t="s">
        <v>24</v>
      </c>
      <c r="AB16" s="12" t="s">
        <v>24</v>
      </c>
      <c r="AC16" s="12" t="s">
        <v>24</v>
      </c>
      <c r="AD16" s="12" t="s">
        <v>24</v>
      </c>
      <c r="AE16" s="12" t="s">
        <v>24</v>
      </c>
      <c r="AF16" s="12" t="s">
        <v>24</v>
      </c>
      <c r="AG16" s="12" t="s">
        <v>24</v>
      </c>
      <c r="AH16" s="12" t="s">
        <v>24</v>
      </c>
      <c r="AI16" s="12" t="s">
        <v>24</v>
      </c>
      <c r="AJ16" s="12" t="s">
        <v>24</v>
      </c>
      <c r="AK16" s="12" t="s">
        <v>24</v>
      </c>
      <c r="AL16" s="12" t="s">
        <v>24</v>
      </c>
      <c r="AM16" s="12" t="s">
        <v>24</v>
      </c>
      <c r="AN16" s="13" t="s">
        <v>24</v>
      </c>
      <c r="AO16" s="12" t="s">
        <v>24</v>
      </c>
      <c r="AP16" s="12" t="s">
        <v>24</v>
      </c>
      <c r="AQ16" s="12" t="s">
        <v>24</v>
      </c>
      <c r="AR16" s="12" t="s">
        <v>24</v>
      </c>
      <c r="AS16" s="12" t="s">
        <v>24</v>
      </c>
      <c r="AT16" s="12" t="s">
        <v>24</v>
      </c>
      <c r="AU16" s="12" t="s">
        <v>24</v>
      </c>
      <c r="AV16" s="12" t="s">
        <v>24</v>
      </c>
      <c r="AW16" s="12" t="s">
        <v>24</v>
      </c>
      <c r="AX16" s="12" t="s">
        <v>24</v>
      </c>
      <c r="AY16" s="12" t="s">
        <v>24</v>
      </c>
      <c r="AZ16" s="12" t="s">
        <v>24</v>
      </c>
      <c r="BA16" s="12" t="s">
        <v>24</v>
      </c>
      <c r="BB16" s="12" t="s">
        <v>24</v>
      </c>
      <c r="BC16" s="12" t="s">
        <v>24</v>
      </c>
      <c r="BD16" s="12" t="s">
        <v>24</v>
      </c>
      <c r="BE16" s="12" t="s">
        <v>24</v>
      </c>
      <c r="BF16" s="12" t="s">
        <v>24</v>
      </c>
      <c r="BG16" s="12" t="s">
        <v>24</v>
      </c>
      <c r="BH16" s="12" t="s">
        <v>24</v>
      </c>
      <c r="BI16" s="13" t="s">
        <v>24</v>
      </c>
      <c r="BJ16" s="12" t="s">
        <v>24</v>
      </c>
      <c r="BK16" s="12" t="s">
        <v>24</v>
      </c>
      <c r="BL16" s="12" t="s">
        <v>24</v>
      </c>
      <c r="BM16" s="17">
        <f t="shared" si="0"/>
        <v>0</v>
      </c>
      <c r="BN16" s="17" cm="1">
        <f t="array" ref="BN16">SUM(COUNTIF(D16:BL16,{"A";"AT"}))</f>
        <v>61</v>
      </c>
      <c r="BO16" s="17">
        <f t="shared" si="1"/>
        <v>0</v>
      </c>
      <c r="BP16" s="17">
        <f t="shared" si="2"/>
        <v>0</v>
      </c>
      <c r="BQ16" s="18">
        <f t="shared" si="3"/>
        <v>61</v>
      </c>
    </row>
    <row r="17" spans="1:69" ht="20.25" customHeight="1" thickBot="1" x14ac:dyDescent="0.25">
      <c r="A17" s="1">
        <v>7</v>
      </c>
      <c r="B17" s="94">
        <f>+'1ER TRIMESTRE'!B17</f>
        <v>0</v>
      </c>
      <c r="C17" s="95"/>
      <c r="D17" s="11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  <c r="J17" s="12" t="s">
        <v>24</v>
      </c>
      <c r="K17" s="12" t="s">
        <v>24</v>
      </c>
      <c r="L17" s="12" t="s">
        <v>24</v>
      </c>
      <c r="M17" s="12" t="s">
        <v>24</v>
      </c>
      <c r="N17" s="12" t="s">
        <v>24</v>
      </c>
      <c r="O17" s="12" t="s">
        <v>24</v>
      </c>
      <c r="P17" s="12" t="s">
        <v>24</v>
      </c>
      <c r="Q17" s="12" t="s">
        <v>24</v>
      </c>
      <c r="R17" s="13" t="s">
        <v>24</v>
      </c>
      <c r="S17" s="12" t="s">
        <v>24</v>
      </c>
      <c r="T17" s="12" t="s">
        <v>24</v>
      </c>
      <c r="U17" s="12" t="s">
        <v>24</v>
      </c>
      <c r="V17" s="12" t="s">
        <v>24</v>
      </c>
      <c r="W17" s="12" t="s">
        <v>24</v>
      </c>
      <c r="X17" s="12" t="s">
        <v>24</v>
      </c>
      <c r="Y17" s="12" t="s">
        <v>24</v>
      </c>
      <c r="Z17" s="12" t="s">
        <v>24</v>
      </c>
      <c r="AA17" s="12" t="s">
        <v>24</v>
      </c>
      <c r="AB17" s="12" t="s">
        <v>24</v>
      </c>
      <c r="AC17" s="12" t="s">
        <v>24</v>
      </c>
      <c r="AD17" s="12" t="s">
        <v>24</v>
      </c>
      <c r="AE17" s="12" t="s">
        <v>24</v>
      </c>
      <c r="AF17" s="12" t="s">
        <v>24</v>
      </c>
      <c r="AG17" s="12" t="s">
        <v>24</v>
      </c>
      <c r="AH17" s="12" t="s">
        <v>24</v>
      </c>
      <c r="AI17" s="12" t="s">
        <v>24</v>
      </c>
      <c r="AJ17" s="12" t="s">
        <v>24</v>
      </c>
      <c r="AK17" s="12" t="s">
        <v>24</v>
      </c>
      <c r="AL17" s="12" t="s">
        <v>24</v>
      </c>
      <c r="AM17" s="12" t="s">
        <v>24</v>
      </c>
      <c r="AN17" s="13" t="s">
        <v>24</v>
      </c>
      <c r="AO17" s="12" t="s">
        <v>24</v>
      </c>
      <c r="AP17" s="12" t="s">
        <v>24</v>
      </c>
      <c r="AQ17" s="12" t="s">
        <v>24</v>
      </c>
      <c r="AR17" s="12" t="s">
        <v>24</v>
      </c>
      <c r="AS17" s="12" t="s">
        <v>24</v>
      </c>
      <c r="AT17" s="12" t="s">
        <v>24</v>
      </c>
      <c r="AU17" s="12" t="s">
        <v>24</v>
      </c>
      <c r="AV17" s="12" t="s">
        <v>24</v>
      </c>
      <c r="AW17" s="12" t="s">
        <v>24</v>
      </c>
      <c r="AX17" s="12" t="s">
        <v>24</v>
      </c>
      <c r="AY17" s="12" t="s">
        <v>24</v>
      </c>
      <c r="AZ17" s="12" t="s">
        <v>24</v>
      </c>
      <c r="BA17" s="12" t="s">
        <v>24</v>
      </c>
      <c r="BB17" s="12" t="s">
        <v>24</v>
      </c>
      <c r="BC17" s="12" t="s">
        <v>24</v>
      </c>
      <c r="BD17" s="12" t="s">
        <v>24</v>
      </c>
      <c r="BE17" s="12" t="s">
        <v>24</v>
      </c>
      <c r="BF17" s="12" t="s">
        <v>24</v>
      </c>
      <c r="BG17" s="12" t="s">
        <v>24</v>
      </c>
      <c r="BH17" s="12" t="s">
        <v>24</v>
      </c>
      <c r="BI17" s="13" t="s">
        <v>24</v>
      </c>
      <c r="BJ17" s="12" t="s">
        <v>24</v>
      </c>
      <c r="BK17" s="12" t="s">
        <v>24</v>
      </c>
      <c r="BL17" s="12" t="s">
        <v>24</v>
      </c>
      <c r="BM17" s="17">
        <f t="shared" si="0"/>
        <v>0</v>
      </c>
      <c r="BN17" s="17" cm="1">
        <f t="array" ref="BN17">SUM(COUNTIF(D17:BL17,{"A";"AT"}))</f>
        <v>61</v>
      </c>
      <c r="BO17" s="17">
        <f t="shared" si="1"/>
        <v>0</v>
      </c>
      <c r="BP17" s="17">
        <f t="shared" si="2"/>
        <v>0</v>
      </c>
      <c r="BQ17" s="18">
        <f t="shared" si="3"/>
        <v>61</v>
      </c>
    </row>
    <row r="18" spans="1:69" ht="20.25" customHeight="1" thickBot="1" x14ac:dyDescent="0.25">
      <c r="A18" s="1">
        <v>8</v>
      </c>
      <c r="B18" s="94">
        <f>+'1ER TRIMESTRE'!B18</f>
        <v>0</v>
      </c>
      <c r="C18" s="95"/>
      <c r="D18" s="11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  <c r="J18" s="12" t="s">
        <v>24</v>
      </c>
      <c r="K18" s="12" t="s">
        <v>24</v>
      </c>
      <c r="L18" s="12" t="s">
        <v>24</v>
      </c>
      <c r="M18" s="12" t="s">
        <v>24</v>
      </c>
      <c r="N18" s="12" t="s">
        <v>24</v>
      </c>
      <c r="O18" s="12" t="s">
        <v>24</v>
      </c>
      <c r="P18" s="12" t="s">
        <v>24</v>
      </c>
      <c r="Q18" s="12" t="s">
        <v>24</v>
      </c>
      <c r="R18" s="13" t="s">
        <v>24</v>
      </c>
      <c r="S18" s="12" t="s">
        <v>24</v>
      </c>
      <c r="T18" s="12" t="s">
        <v>24</v>
      </c>
      <c r="U18" s="12" t="s">
        <v>24</v>
      </c>
      <c r="V18" s="12" t="s">
        <v>24</v>
      </c>
      <c r="W18" s="12" t="s">
        <v>24</v>
      </c>
      <c r="X18" s="12" t="s">
        <v>24</v>
      </c>
      <c r="Y18" s="12" t="s">
        <v>24</v>
      </c>
      <c r="Z18" s="12" t="s">
        <v>24</v>
      </c>
      <c r="AA18" s="12" t="s">
        <v>24</v>
      </c>
      <c r="AB18" s="12" t="s">
        <v>24</v>
      </c>
      <c r="AC18" s="12" t="s">
        <v>24</v>
      </c>
      <c r="AD18" s="12" t="s">
        <v>24</v>
      </c>
      <c r="AE18" s="12" t="s">
        <v>24</v>
      </c>
      <c r="AF18" s="12" t="s">
        <v>24</v>
      </c>
      <c r="AG18" s="12" t="s">
        <v>24</v>
      </c>
      <c r="AH18" s="12" t="s">
        <v>24</v>
      </c>
      <c r="AI18" s="12" t="s">
        <v>24</v>
      </c>
      <c r="AJ18" s="12" t="s">
        <v>24</v>
      </c>
      <c r="AK18" s="12" t="s">
        <v>24</v>
      </c>
      <c r="AL18" s="12" t="s">
        <v>24</v>
      </c>
      <c r="AM18" s="12" t="s">
        <v>24</v>
      </c>
      <c r="AN18" s="13" t="s">
        <v>24</v>
      </c>
      <c r="AO18" s="12" t="s">
        <v>24</v>
      </c>
      <c r="AP18" s="12" t="s">
        <v>24</v>
      </c>
      <c r="AQ18" s="12" t="s">
        <v>24</v>
      </c>
      <c r="AR18" s="12" t="s">
        <v>24</v>
      </c>
      <c r="AS18" s="12" t="s">
        <v>24</v>
      </c>
      <c r="AT18" s="12" t="s">
        <v>24</v>
      </c>
      <c r="AU18" s="12" t="s">
        <v>24</v>
      </c>
      <c r="AV18" s="12" t="s">
        <v>24</v>
      </c>
      <c r="AW18" s="12" t="s">
        <v>24</v>
      </c>
      <c r="AX18" s="12" t="s">
        <v>24</v>
      </c>
      <c r="AY18" s="12" t="s">
        <v>24</v>
      </c>
      <c r="AZ18" s="12" t="s">
        <v>24</v>
      </c>
      <c r="BA18" s="12" t="s">
        <v>24</v>
      </c>
      <c r="BB18" s="12" t="s">
        <v>24</v>
      </c>
      <c r="BC18" s="12" t="s">
        <v>24</v>
      </c>
      <c r="BD18" s="12" t="s">
        <v>24</v>
      </c>
      <c r="BE18" s="12" t="s">
        <v>24</v>
      </c>
      <c r="BF18" s="12" t="s">
        <v>24</v>
      </c>
      <c r="BG18" s="12" t="s">
        <v>24</v>
      </c>
      <c r="BH18" s="12" t="s">
        <v>24</v>
      </c>
      <c r="BI18" s="13" t="s">
        <v>24</v>
      </c>
      <c r="BJ18" s="12" t="s">
        <v>24</v>
      </c>
      <c r="BK18" s="12" t="s">
        <v>24</v>
      </c>
      <c r="BL18" s="12" t="s">
        <v>24</v>
      </c>
      <c r="BM18" s="17">
        <f t="shared" si="0"/>
        <v>0</v>
      </c>
      <c r="BN18" s="17" cm="1">
        <f t="array" ref="BN18">SUM(COUNTIF(D18:BL18,{"A";"AT"}))</f>
        <v>61</v>
      </c>
      <c r="BO18" s="17">
        <f t="shared" si="1"/>
        <v>0</v>
      </c>
      <c r="BP18" s="17">
        <f t="shared" si="2"/>
        <v>0</v>
      </c>
      <c r="BQ18" s="18">
        <f t="shared" si="3"/>
        <v>61</v>
      </c>
    </row>
    <row r="19" spans="1:69" ht="20.25" customHeight="1" thickBot="1" x14ac:dyDescent="0.25">
      <c r="A19" s="1">
        <v>9</v>
      </c>
      <c r="B19" s="94">
        <f>+'1ER TRIMESTRE'!B19</f>
        <v>0</v>
      </c>
      <c r="C19" s="95"/>
      <c r="D19" s="11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  <c r="J19" s="12" t="s">
        <v>24</v>
      </c>
      <c r="K19" s="12" t="s">
        <v>24</v>
      </c>
      <c r="L19" s="12" t="s">
        <v>24</v>
      </c>
      <c r="M19" s="12" t="s">
        <v>24</v>
      </c>
      <c r="N19" s="12" t="s">
        <v>24</v>
      </c>
      <c r="O19" s="12" t="s">
        <v>24</v>
      </c>
      <c r="P19" s="12" t="s">
        <v>24</v>
      </c>
      <c r="Q19" s="12" t="s">
        <v>24</v>
      </c>
      <c r="R19" s="13" t="s">
        <v>24</v>
      </c>
      <c r="S19" s="12" t="s">
        <v>24</v>
      </c>
      <c r="T19" s="12" t="s">
        <v>24</v>
      </c>
      <c r="U19" s="12" t="s">
        <v>24</v>
      </c>
      <c r="V19" s="12" t="s">
        <v>24</v>
      </c>
      <c r="W19" s="12" t="s">
        <v>24</v>
      </c>
      <c r="X19" s="12" t="s">
        <v>24</v>
      </c>
      <c r="Y19" s="12" t="s">
        <v>24</v>
      </c>
      <c r="Z19" s="12" t="s">
        <v>24</v>
      </c>
      <c r="AA19" s="12" t="s">
        <v>24</v>
      </c>
      <c r="AB19" s="12" t="s">
        <v>24</v>
      </c>
      <c r="AC19" s="12" t="s">
        <v>24</v>
      </c>
      <c r="AD19" s="12" t="s">
        <v>24</v>
      </c>
      <c r="AE19" s="12" t="s">
        <v>24</v>
      </c>
      <c r="AF19" s="12" t="s">
        <v>24</v>
      </c>
      <c r="AG19" s="12" t="s">
        <v>24</v>
      </c>
      <c r="AH19" s="12" t="s">
        <v>24</v>
      </c>
      <c r="AI19" s="12" t="s">
        <v>24</v>
      </c>
      <c r="AJ19" s="12" t="s">
        <v>24</v>
      </c>
      <c r="AK19" s="12" t="s">
        <v>24</v>
      </c>
      <c r="AL19" s="12" t="s">
        <v>24</v>
      </c>
      <c r="AM19" s="12" t="s">
        <v>24</v>
      </c>
      <c r="AN19" s="13" t="s">
        <v>24</v>
      </c>
      <c r="AO19" s="12" t="s">
        <v>24</v>
      </c>
      <c r="AP19" s="12" t="s">
        <v>24</v>
      </c>
      <c r="AQ19" s="12" t="s">
        <v>24</v>
      </c>
      <c r="AR19" s="12" t="s">
        <v>24</v>
      </c>
      <c r="AS19" s="12" t="s">
        <v>24</v>
      </c>
      <c r="AT19" s="12" t="s">
        <v>24</v>
      </c>
      <c r="AU19" s="12" t="s">
        <v>24</v>
      </c>
      <c r="AV19" s="12" t="s">
        <v>24</v>
      </c>
      <c r="AW19" s="12" t="s">
        <v>24</v>
      </c>
      <c r="AX19" s="12" t="s">
        <v>24</v>
      </c>
      <c r="AY19" s="12" t="s">
        <v>24</v>
      </c>
      <c r="AZ19" s="12" t="s">
        <v>24</v>
      </c>
      <c r="BA19" s="12" t="s">
        <v>24</v>
      </c>
      <c r="BB19" s="12" t="s">
        <v>24</v>
      </c>
      <c r="BC19" s="12" t="s">
        <v>24</v>
      </c>
      <c r="BD19" s="12" t="s">
        <v>24</v>
      </c>
      <c r="BE19" s="12" t="s">
        <v>24</v>
      </c>
      <c r="BF19" s="12" t="s">
        <v>24</v>
      </c>
      <c r="BG19" s="12" t="s">
        <v>24</v>
      </c>
      <c r="BH19" s="12" t="s">
        <v>24</v>
      </c>
      <c r="BI19" s="13" t="s">
        <v>24</v>
      </c>
      <c r="BJ19" s="12" t="s">
        <v>24</v>
      </c>
      <c r="BK19" s="12" t="s">
        <v>24</v>
      </c>
      <c r="BL19" s="12" t="s">
        <v>24</v>
      </c>
      <c r="BM19" s="17">
        <f t="shared" si="0"/>
        <v>0</v>
      </c>
      <c r="BN19" s="17" cm="1">
        <f t="array" ref="BN19">SUM(COUNTIF(D19:BL19,{"A";"AT"}))</f>
        <v>61</v>
      </c>
      <c r="BO19" s="17">
        <f t="shared" si="1"/>
        <v>0</v>
      </c>
      <c r="BP19" s="17">
        <f t="shared" si="2"/>
        <v>0</v>
      </c>
      <c r="BQ19" s="18">
        <f t="shared" si="3"/>
        <v>61</v>
      </c>
    </row>
    <row r="20" spans="1:69" ht="20.25" customHeight="1" thickBot="1" x14ac:dyDescent="0.25">
      <c r="A20" s="1">
        <v>10</v>
      </c>
      <c r="B20" s="94">
        <f>+'1ER TRIMESTRE'!B20</f>
        <v>0</v>
      </c>
      <c r="C20" s="95"/>
      <c r="D20" s="11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  <c r="J20" s="12" t="s">
        <v>24</v>
      </c>
      <c r="K20" s="12" t="s">
        <v>24</v>
      </c>
      <c r="L20" s="12" t="s">
        <v>24</v>
      </c>
      <c r="M20" s="12" t="s">
        <v>24</v>
      </c>
      <c r="N20" s="12" t="s">
        <v>24</v>
      </c>
      <c r="O20" s="12" t="s">
        <v>24</v>
      </c>
      <c r="P20" s="12" t="s">
        <v>24</v>
      </c>
      <c r="Q20" s="12" t="s">
        <v>24</v>
      </c>
      <c r="R20" s="13" t="s">
        <v>24</v>
      </c>
      <c r="S20" s="12" t="s">
        <v>24</v>
      </c>
      <c r="T20" s="12" t="s">
        <v>24</v>
      </c>
      <c r="U20" s="12" t="s">
        <v>24</v>
      </c>
      <c r="V20" s="12" t="s">
        <v>24</v>
      </c>
      <c r="W20" s="12" t="s">
        <v>24</v>
      </c>
      <c r="X20" s="12" t="s">
        <v>24</v>
      </c>
      <c r="Y20" s="12" t="s">
        <v>24</v>
      </c>
      <c r="Z20" s="12" t="s">
        <v>24</v>
      </c>
      <c r="AA20" s="12" t="s">
        <v>24</v>
      </c>
      <c r="AB20" s="12" t="s">
        <v>24</v>
      </c>
      <c r="AC20" s="12" t="s">
        <v>24</v>
      </c>
      <c r="AD20" s="12" t="s">
        <v>24</v>
      </c>
      <c r="AE20" s="12" t="s">
        <v>24</v>
      </c>
      <c r="AF20" s="12" t="s">
        <v>24</v>
      </c>
      <c r="AG20" s="12" t="s">
        <v>24</v>
      </c>
      <c r="AH20" s="12" t="s">
        <v>24</v>
      </c>
      <c r="AI20" s="12" t="s">
        <v>24</v>
      </c>
      <c r="AJ20" s="12" t="s">
        <v>24</v>
      </c>
      <c r="AK20" s="12" t="s">
        <v>24</v>
      </c>
      <c r="AL20" s="12" t="s">
        <v>24</v>
      </c>
      <c r="AM20" s="12" t="s">
        <v>24</v>
      </c>
      <c r="AN20" s="13" t="s">
        <v>24</v>
      </c>
      <c r="AO20" s="12" t="s">
        <v>24</v>
      </c>
      <c r="AP20" s="12" t="s">
        <v>24</v>
      </c>
      <c r="AQ20" s="12" t="s">
        <v>24</v>
      </c>
      <c r="AR20" s="12" t="s">
        <v>24</v>
      </c>
      <c r="AS20" s="12" t="s">
        <v>24</v>
      </c>
      <c r="AT20" s="12" t="s">
        <v>24</v>
      </c>
      <c r="AU20" s="12" t="s">
        <v>24</v>
      </c>
      <c r="AV20" s="12" t="s">
        <v>24</v>
      </c>
      <c r="AW20" s="12" t="s">
        <v>24</v>
      </c>
      <c r="AX20" s="12" t="s">
        <v>24</v>
      </c>
      <c r="AY20" s="12" t="s">
        <v>24</v>
      </c>
      <c r="AZ20" s="12" t="s">
        <v>24</v>
      </c>
      <c r="BA20" s="12" t="s">
        <v>24</v>
      </c>
      <c r="BB20" s="12" t="s">
        <v>24</v>
      </c>
      <c r="BC20" s="12" t="s">
        <v>24</v>
      </c>
      <c r="BD20" s="12" t="s">
        <v>24</v>
      </c>
      <c r="BE20" s="12" t="s">
        <v>24</v>
      </c>
      <c r="BF20" s="12" t="s">
        <v>24</v>
      </c>
      <c r="BG20" s="12" t="s">
        <v>24</v>
      </c>
      <c r="BH20" s="12" t="s">
        <v>24</v>
      </c>
      <c r="BI20" s="13" t="s">
        <v>24</v>
      </c>
      <c r="BJ20" s="12" t="s">
        <v>24</v>
      </c>
      <c r="BK20" s="12" t="s">
        <v>24</v>
      </c>
      <c r="BL20" s="12" t="s">
        <v>24</v>
      </c>
      <c r="BM20" s="17">
        <f t="shared" si="0"/>
        <v>0</v>
      </c>
      <c r="BN20" s="17" cm="1">
        <f t="array" ref="BN20">SUM(COUNTIF(D20:BL20,{"A";"AT"}))</f>
        <v>61</v>
      </c>
      <c r="BO20" s="17">
        <f t="shared" si="1"/>
        <v>0</v>
      </c>
      <c r="BP20" s="17">
        <f t="shared" si="2"/>
        <v>0</v>
      </c>
      <c r="BQ20" s="18">
        <f t="shared" si="3"/>
        <v>61</v>
      </c>
    </row>
    <row r="21" spans="1:69" ht="20.25" customHeight="1" thickBot="1" x14ac:dyDescent="0.25">
      <c r="A21" s="1">
        <v>11</v>
      </c>
      <c r="B21" s="94">
        <f>+'1ER TRIMESTRE'!B21</f>
        <v>0</v>
      </c>
      <c r="C21" s="95"/>
      <c r="D21" s="11" t="s">
        <v>24</v>
      </c>
      <c r="E21" s="12" t="s">
        <v>24</v>
      </c>
      <c r="F21" s="12" t="s">
        <v>24</v>
      </c>
      <c r="G21" s="12" t="s">
        <v>24</v>
      </c>
      <c r="H21" s="12" t="s">
        <v>24</v>
      </c>
      <c r="I21" s="12" t="s">
        <v>24</v>
      </c>
      <c r="J21" s="12" t="s">
        <v>24</v>
      </c>
      <c r="K21" s="12" t="s">
        <v>24</v>
      </c>
      <c r="L21" s="12" t="s">
        <v>24</v>
      </c>
      <c r="M21" s="12" t="s">
        <v>24</v>
      </c>
      <c r="N21" s="12" t="s">
        <v>24</v>
      </c>
      <c r="O21" s="12" t="s">
        <v>24</v>
      </c>
      <c r="P21" s="12" t="s">
        <v>24</v>
      </c>
      <c r="Q21" s="12" t="s">
        <v>24</v>
      </c>
      <c r="R21" s="13" t="s">
        <v>24</v>
      </c>
      <c r="S21" s="12" t="s">
        <v>24</v>
      </c>
      <c r="T21" s="12" t="s">
        <v>24</v>
      </c>
      <c r="U21" s="12" t="s">
        <v>24</v>
      </c>
      <c r="V21" s="12" t="s">
        <v>24</v>
      </c>
      <c r="W21" s="12" t="s">
        <v>24</v>
      </c>
      <c r="X21" s="12" t="s">
        <v>24</v>
      </c>
      <c r="Y21" s="12" t="s">
        <v>24</v>
      </c>
      <c r="Z21" s="12" t="s">
        <v>24</v>
      </c>
      <c r="AA21" s="12" t="s">
        <v>24</v>
      </c>
      <c r="AB21" s="12" t="s">
        <v>24</v>
      </c>
      <c r="AC21" s="12" t="s">
        <v>24</v>
      </c>
      <c r="AD21" s="12" t="s">
        <v>24</v>
      </c>
      <c r="AE21" s="12" t="s">
        <v>24</v>
      </c>
      <c r="AF21" s="12" t="s">
        <v>24</v>
      </c>
      <c r="AG21" s="12" t="s">
        <v>24</v>
      </c>
      <c r="AH21" s="12" t="s">
        <v>24</v>
      </c>
      <c r="AI21" s="12" t="s">
        <v>24</v>
      </c>
      <c r="AJ21" s="12" t="s">
        <v>24</v>
      </c>
      <c r="AK21" s="12" t="s">
        <v>24</v>
      </c>
      <c r="AL21" s="12" t="s">
        <v>24</v>
      </c>
      <c r="AM21" s="12" t="s">
        <v>24</v>
      </c>
      <c r="AN21" s="13" t="s">
        <v>24</v>
      </c>
      <c r="AO21" s="12" t="s">
        <v>24</v>
      </c>
      <c r="AP21" s="12" t="s">
        <v>24</v>
      </c>
      <c r="AQ21" s="12" t="s">
        <v>24</v>
      </c>
      <c r="AR21" s="12" t="s">
        <v>24</v>
      </c>
      <c r="AS21" s="12" t="s">
        <v>24</v>
      </c>
      <c r="AT21" s="12" t="s">
        <v>24</v>
      </c>
      <c r="AU21" s="12" t="s">
        <v>24</v>
      </c>
      <c r="AV21" s="12" t="s">
        <v>24</v>
      </c>
      <c r="AW21" s="12" t="s">
        <v>24</v>
      </c>
      <c r="AX21" s="12" t="s">
        <v>24</v>
      </c>
      <c r="AY21" s="12" t="s">
        <v>24</v>
      </c>
      <c r="AZ21" s="12" t="s">
        <v>24</v>
      </c>
      <c r="BA21" s="12" t="s">
        <v>24</v>
      </c>
      <c r="BB21" s="12" t="s">
        <v>24</v>
      </c>
      <c r="BC21" s="12" t="s">
        <v>24</v>
      </c>
      <c r="BD21" s="12" t="s">
        <v>24</v>
      </c>
      <c r="BE21" s="12" t="s">
        <v>24</v>
      </c>
      <c r="BF21" s="12" t="s">
        <v>24</v>
      </c>
      <c r="BG21" s="12" t="s">
        <v>24</v>
      </c>
      <c r="BH21" s="12" t="s">
        <v>24</v>
      </c>
      <c r="BI21" s="13" t="s">
        <v>24</v>
      </c>
      <c r="BJ21" s="12" t="s">
        <v>24</v>
      </c>
      <c r="BK21" s="12" t="s">
        <v>24</v>
      </c>
      <c r="BL21" s="12" t="s">
        <v>24</v>
      </c>
      <c r="BM21" s="17">
        <f t="shared" si="0"/>
        <v>0</v>
      </c>
      <c r="BN21" s="17" cm="1">
        <f t="array" ref="BN21">SUM(COUNTIF(D21:BL21,{"A";"AT"}))</f>
        <v>61</v>
      </c>
      <c r="BO21" s="17">
        <f t="shared" si="1"/>
        <v>0</v>
      </c>
      <c r="BP21" s="17">
        <f t="shared" si="2"/>
        <v>0</v>
      </c>
      <c r="BQ21" s="18">
        <f t="shared" si="3"/>
        <v>61</v>
      </c>
    </row>
    <row r="22" spans="1:69" ht="20.25" customHeight="1" thickBot="1" x14ac:dyDescent="0.25">
      <c r="A22" s="1">
        <v>12</v>
      </c>
      <c r="B22" s="94">
        <f>+'1ER TRIMESTRE'!B22</f>
        <v>0</v>
      </c>
      <c r="C22" s="95"/>
      <c r="D22" s="11" t="s">
        <v>24</v>
      </c>
      <c r="E22" s="12" t="s">
        <v>24</v>
      </c>
      <c r="F22" s="12" t="s">
        <v>24</v>
      </c>
      <c r="G22" s="12" t="s">
        <v>24</v>
      </c>
      <c r="H22" s="12" t="s">
        <v>24</v>
      </c>
      <c r="I22" s="12" t="s">
        <v>24</v>
      </c>
      <c r="J22" s="12" t="s">
        <v>24</v>
      </c>
      <c r="K22" s="12" t="s">
        <v>24</v>
      </c>
      <c r="L22" s="12" t="s">
        <v>24</v>
      </c>
      <c r="M22" s="12" t="s">
        <v>24</v>
      </c>
      <c r="N22" s="12" t="s">
        <v>24</v>
      </c>
      <c r="O22" s="12" t="s">
        <v>24</v>
      </c>
      <c r="P22" s="12" t="s">
        <v>24</v>
      </c>
      <c r="Q22" s="12" t="s">
        <v>24</v>
      </c>
      <c r="R22" s="13" t="s">
        <v>24</v>
      </c>
      <c r="S22" s="12" t="s">
        <v>24</v>
      </c>
      <c r="T22" s="12" t="s">
        <v>24</v>
      </c>
      <c r="U22" s="12" t="s">
        <v>24</v>
      </c>
      <c r="V22" s="12" t="s">
        <v>24</v>
      </c>
      <c r="W22" s="12" t="s">
        <v>24</v>
      </c>
      <c r="X22" s="12" t="s">
        <v>24</v>
      </c>
      <c r="Y22" s="12" t="s">
        <v>24</v>
      </c>
      <c r="Z22" s="12" t="s">
        <v>24</v>
      </c>
      <c r="AA22" s="12" t="s">
        <v>24</v>
      </c>
      <c r="AB22" s="12" t="s">
        <v>24</v>
      </c>
      <c r="AC22" s="12" t="s">
        <v>24</v>
      </c>
      <c r="AD22" s="12" t="s">
        <v>24</v>
      </c>
      <c r="AE22" s="12" t="s">
        <v>24</v>
      </c>
      <c r="AF22" s="12" t="s">
        <v>24</v>
      </c>
      <c r="AG22" s="12" t="s">
        <v>24</v>
      </c>
      <c r="AH22" s="12" t="s">
        <v>24</v>
      </c>
      <c r="AI22" s="12" t="s">
        <v>24</v>
      </c>
      <c r="AJ22" s="12" t="s">
        <v>24</v>
      </c>
      <c r="AK22" s="12" t="s">
        <v>24</v>
      </c>
      <c r="AL22" s="12" t="s">
        <v>24</v>
      </c>
      <c r="AM22" s="12" t="s">
        <v>24</v>
      </c>
      <c r="AN22" s="13" t="s">
        <v>24</v>
      </c>
      <c r="AO22" s="12" t="s">
        <v>24</v>
      </c>
      <c r="AP22" s="12" t="s">
        <v>24</v>
      </c>
      <c r="AQ22" s="12" t="s">
        <v>24</v>
      </c>
      <c r="AR22" s="12" t="s">
        <v>24</v>
      </c>
      <c r="AS22" s="12" t="s">
        <v>24</v>
      </c>
      <c r="AT22" s="12" t="s">
        <v>24</v>
      </c>
      <c r="AU22" s="12" t="s">
        <v>24</v>
      </c>
      <c r="AV22" s="12" t="s">
        <v>24</v>
      </c>
      <c r="AW22" s="12" t="s">
        <v>24</v>
      </c>
      <c r="AX22" s="12" t="s">
        <v>24</v>
      </c>
      <c r="AY22" s="12" t="s">
        <v>24</v>
      </c>
      <c r="AZ22" s="12" t="s">
        <v>24</v>
      </c>
      <c r="BA22" s="12" t="s">
        <v>24</v>
      </c>
      <c r="BB22" s="12" t="s">
        <v>24</v>
      </c>
      <c r="BC22" s="12" t="s">
        <v>24</v>
      </c>
      <c r="BD22" s="12" t="s">
        <v>24</v>
      </c>
      <c r="BE22" s="12" t="s">
        <v>24</v>
      </c>
      <c r="BF22" s="12" t="s">
        <v>24</v>
      </c>
      <c r="BG22" s="12" t="s">
        <v>24</v>
      </c>
      <c r="BH22" s="12" t="s">
        <v>24</v>
      </c>
      <c r="BI22" s="13" t="s">
        <v>24</v>
      </c>
      <c r="BJ22" s="12" t="s">
        <v>24</v>
      </c>
      <c r="BK22" s="12" t="s">
        <v>24</v>
      </c>
      <c r="BL22" s="12" t="s">
        <v>24</v>
      </c>
      <c r="BM22" s="17">
        <f t="shared" si="0"/>
        <v>0</v>
      </c>
      <c r="BN22" s="17" cm="1">
        <f t="array" ref="BN22">SUM(COUNTIF(D22:BL22,{"A";"AT"}))</f>
        <v>61</v>
      </c>
      <c r="BO22" s="17">
        <f t="shared" si="1"/>
        <v>0</v>
      </c>
      <c r="BP22" s="17">
        <f t="shared" si="2"/>
        <v>0</v>
      </c>
      <c r="BQ22" s="18">
        <f t="shared" si="3"/>
        <v>61</v>
      </c>
    </row>
    <row r="23" spans="1:69" ht="20.25" customHeight="1" thickBot="1" x14ac:dyDescent="0.25">
      <c r="A23" s="1">
        <v>13</v>
      </c>
      <c r="B23" s="94">
        <f>+'1ER TRIMESTRE'!B23</f>
        <v>0</v>
      </c>
      <c r="C23" s="95"/>
      <c r="D23" s="11" t="s">
        <v>24</v>
      </c>
      <c r="E23" s="12" t="s">
        <v>24</v>
      </c>
      <c r="F23" s="12" t="s">
        <v>24</v>
      </c>
      <c r="G23" s="12" t="s">
        <v>24</v>
      </c>
      <c r="H23" s="12" t="s">
        <v>24</v>
      </c>
      <c r="I23" s="12" t="s">
        <v>24</v>
      </c>
      <c r="J23" s="12" t="s">
        <v>24</v>
      </c>
      <c r="K23" s="12" t="s">
        <v>24</v>
      </c>
      <c r="L23" s="12" t="s">
        <v>24</v>
      </c>
      <c r="M23" s="12" t="s">
        <v>24</v>
      </c>
      <c r="N23" s="12" t="s">
        <v>24</v>
      </c>
      <c r="O23" s="12" t="s">
        <v>24</v>
      </c>
      <c r="P23" s="12" t="s">
        <v>24</v>
      </c>
      <c r="Q23" s="12" t="s">
        <v>24</v>
      </c>
      <c r="R23" s="13" t="s">
        <v>24</v>
      </c>
      <c r="S23" s="12" t="s">
        <v>24</v>
      </c>
      <c r="T23" s="12" t="s">
        <v>24</v>
      </c>
      <c r="U23" s="12" t="s">
        <v>24</v>
      </c>
      <c r="V23" s="12" t="s">
        <v>24</v>
      </c>
      <c r="W23" s="12" t="s">
        <v>24</v>
      </c>
      <c r="X23" s="12" t="s">
        <v>24</v>
      </c>
      <c r="Y23" s="12" t="s">
        <v>24</v>
      </c>
      <c r="Z23" s="12" t="s">
        <v>24</v>
      </c>
      <c r="AA23" s="12" t="s">
        <v>24</v>
      </c>
      <c r="AB23" s="12" t="s">
        <v>24</v>
      </c>
      <c r="AC23" s="12" t="s">
        <v>24</v>
      </c>
      <c r="AD23" s="12" t="s">
        <v>24</v>
      </c>
      <c r="AE23" s="12" t="s">
        <v>24</v>
      </c>
      <c r="AF23" s="12" t="s">
        <v>24</v>
      </c>
      <c r="AG23" s="12" t="s">
        <v>24</v>
      </c>
      <c r="AH23" s="12" t="s">
        <v>24</v>
      </c>
      <c r="AI23" s="12" t="s">
        <v>24</v>
      </c>
      <c r="AJ23" s="12" t="s">
        <v>24</v>
      </c>
      <c r="AK23" s="12" t="s">
        <v>24</v>
      </c>
      <c r="AL23" s="12" t="s">
        <v>24</v>
      </c>
      <c r="AM23" s="12" t="s">
        <v>24</v>
      </c>
      <c r="AN23" s="13" t="s">
        <v>24</v>
      </c>
      <c r="AO23" s="12" t="s">
        <v>24</v>
      </c>
      <c r="AP23" s="12" t="s">
        <v>24</v>
      </c>
      <c r="AQ23" s="12" t="s">
        <v>24</v>
      </c>
      <c r="AR23" s="12" t="s">
        <v>24</v>
      </c>
      <c r="AS23" s="12" t="s">
        <v>24</v>
      </c>
      <c r="AT23" s="12" t="s">
        <v>24</v>
      </c>
      <c r="AU23" s="12" t="s">
        <v>24</v>
      </c>
      <c r="AV23" s="12" t="s">
        <v>24</v>
      </c>
      <c r="AW23" s="12" t="s">
        <v>24</v>
      </c>
      <c r="AX23" s="12" t="s">
        <v>24</v>
      </c>
      <c r="AY23" s="12" t="s">
        <v>24</v>
      </c>
      <c r="AZ23" s="12" t="s">
        <v>24</v>
      </c>
      <c r="BA23" s="12" t="s">
        <v>24</v>
      </c>
      <c r="BB23" s="12" t="s">
        <v>24</v>
      </c>
      <c r="BC23" s="12" t="s">
        <v>24</v>
      </c>
      <c r="BD23" s="12" t="s">
        <v>24</v>
      </c>
      <c r="BE23" s="12" t="s">
        <v>24</v>
      </c>
      <c r="BF23" s="12" t="s">
        <v>24</v>
      </c>
      <c r="BG23" s="12" t="s">
        <v>24</v>
      </c>
      <c r="BH23" s="12" t="s">
        <v>24</v>
      </c>
      <c r="BI23" s="13" t="s">
        <v>24</v>
      </c>
      <c r="BJ23" s="12" t="s">
        <v>24</v>
      </c>
      <c r="BK23" s="12" t="s">
        <v>24</v>
      </c>
      <c r="BL23" s="12" t="s">
        <v>24</v>
      </c>
      <c r="BM23" s="17">
        <f t="shared" si="0"/>
        <v>0</v>
      </c>
      <c r="BN23" s="17" cm="1">
        <f t="array" ref="BN23">SUM(COUNTIF(D23:BL23,{"A";"AT"}))</f>
        <v>61</v>
      </c>
      <c r="BO23" s="17">
        <f t="shared" si="1"/>
        <v>0</v>
      </c>
      <c r="BP23" s="17">
        <f t="shared" si="2"/>
        <v>0</v>
      </c>
      <c r="BQ23" s="18">
        <f t="shared" si="3"/>
        <v>61</v>
      </c>
    </row>
    <row r="24" spans="1:69" ht="20.25" customHeight="1" thickBot="1" x14ac:dyDescent="0.25">
      <c r="A24" s="1">
        <v>14</v>
      </c>
      <c r="B24" s="94">
        <f>+'1ER TRIMESTRE'!B24</f>
        <v>0</v>
      </c>
      <c r="C24" s="95"/>
      <c r="D24" s="11" t="s">
        <v>24</v>
      </c>
      <c r="E24" s="12" t="s">
        <v>24</v>
      </c>
      <c r="F24" s="12" t="s">
        <v>24</v>
      </c>
      <c r="G24" s="12" t="s">
        <v>24</v>
      </c>
      <c r="H24" s="12" t="s">
        <v>24</v>
      </c>
      <c r="I24" s="12" t="s">
        <v>24</v>
      </c>
      <c r="J24" s="12" t="s">
        <v>24</v>
      </c>
      <c r="K24" s="12" t="s">
        <v>24</v>
      </c>
      <c r="L24" s="12" t="s">
        <v>24</v>
      </c>
      <c r="M24" s="12" t="s">
        <v>24</v>
      </c>
      <c r="N24" s="12" t="s">
        <v>24</v>
      </c>
      <c r="O24" s="12" t="s">
        <v>24</v>
      </c>
      <c r="P24" s="12" t="s">
        <v>24</v>
      </c>
      <c r="Q24" s="12" t="s">
        <v>24</v>
      </c>
      <c r="R24" s="13" t="s">
        <v>24</v>
      </c>
      <c r="S24" s="12" t="s">
        <v>24</v>
      </c>
      <c r="T24" s="12" t="s">
        <v>24</v>
      </c>
      <c r="U24" s="12" t="s">
        <v>24</v>
      </c>
      <c r="V24" s="12" t="s">
        <v>24</v>
      </c>
      <c r="W24" s="12" t="s">
        <v>24</v>
      </c>
      <c r="X24" s="12" t="s">
        <v>24</v>
      </c>
      <c r="Y24" s="12" t="s">
        <v>24</v>
      </c>
      <c r="Z24" s="12" t="s">
        <v>24</v>
      </c>
      <c r="AA24" s="12" t="s">
        <v>24</v>
      </c>
      <c r="AB24" s="12" t="s">
        <v>24</v>
      </c>
      <c r="AC24" s="12" t="s">
        <v>24</v>
      </c>
      <c r="AD24" s="12" t="s">
        <v>24</v>
      </c>
      <c r="AE24" s="12" t="s">
        <v>24</v>
      </c>
      <c r="AF24" s="12" t="s">
        <v>24</v>
      </c>
      <c r="AG24" s="12" t="s">
        <v>24</v>
      </c>
      <c r="AH24" s="12" t="s">
        <v>24</v>
      </c>
      <c r="AI24" s="12" t="s">
        <v>24</v>
      </c>
      <c r="AJ24" s="12" t="s">
        <v>24</v>
      </c>
      <c r="AK24" s="12" t="s">
        <v>24</v>
      </c>
      <c r="AL24" s="12" t="s">
        <v>24</v>
      </c>
      <c r="AM24" s="12" t="s">
        <v>24</v>
      </c>
      <c r="AN24" s="13" t="s">
        <v>24</v>
      </c>
      <c r="AO24" s="12" t="s">
        <v>24</v>
      </c>
      <c r="AP24" s="12" t="s">
        <v>24</v>
      </c>
      <c r="AQ24" s="12" t="s">
        <v>24</v>
      </c>
      <c r="AR24" s="12" t="s">
        <v>24</v>
      </c>
      <c r="AS24" s="12" t="s">
        <v>24</v>
      </c>
      <c r="AT24" s="12" t="s">
        <v>24</v>
      </c>
      <c r="AU24" s="12" t="s">
        <v>24</v>
      </c>
      <c r="AV24" s="12" t="s">
        <v>24</v>
      </c>
      <c r="AW24" s="12" t="s">
        <v>24</v>
      </c>
      <c r="AX24" s="12" t="s">
        <v>24</v>
      </c>
      <c r="AY24" s="12" t="s">
        <v>24</v>
      </c>
      <c r="AZ24" s="12" t="s">
        <v>24</v>
      </c>
      <c r="BA24" s="12" t="s">
        <v>24</v>
      </c>
      <c r="BB24" s="12" t="s">
        <v>24</v>
      </c>
      <c r="BC24" s="12" t="s">
        <v>24</v>
      </c>
      <c r="BD24" s="12" t="s">
        <v>24</v>
      </c>
      <c r="BE24" s="12" t="s">
        <v>24</v>
      </c>
      <c r="BF24" s="12" t="s">
        <v>24</v>
      </c>
      <c r="BG24" s="12" t="s">
        <v>24</v>
      </c>
      <c r="BH24" s="12" t="s">
        <v>24</v>
      </c>
      <c r="BI24" s="13" t="s">
        <v>24</v>
      </c>
      <c r="BJ24" s="12" t="s">
        <v>24</v>
      </c>
      <c r="BK24" s="12" t="s">
        <v>24</v>
      </c>
      <c r="BL24" s="12" t="s">
        <v>24</v>
      </c>
      <c r="BM24" s="17">
        <f t="shared" si="0"/>
        <v>0</v>
      </c>
      <c r="BN24" s="17" cm="1">
        <f t="array" ref="BN24">SUM(COUNTIF(D24:BL24,{"A";"AT"}))</f>
        <v>61</v>
      </c>
      <c r="BO24" s="17">
        <f t="shared" si="1"/>
        <v>0</v>
      </c>
      <c r="BP24" s="17">
        <f t="shared" si="2"/>
        <v>0</v>
      </c>
      <c r="BQ24" s="18">
        <f t="shared" si="3"/>
        <v>61</v>
      </c>
    </row>
    <row r="25" spans="1:69" ht="20.25" customHeight="1" thickBot="1" x14ac:dyDescent="0.25">
      <c r="A25" s="1">
        <v>15</v>
      </c>
      <c r="B25" s="94">
        <f>+'1ER TRIMESTRE'!B25</f>
        <v>0</v>
      </c>
      <c r="C25" s="95"/>
      <c r="D25" s="11" t="s">
        <v>24</v>
      </c>
      <c r="E25" s="12" t="s">
        <v>24</v>
      </c>
      <c r="F25" s="12" t="s">
        <v>24</v>
      </c>
      <c r="G25" s="12" t="s">
        <v>24</v>
      </c>
      <c r="H25" s="12" t="s">
        <v>24</v>
      </c>
      <c r="I25" s="12" t="s">
        <v>24</v>
      </c>
      <c r="J25" s="12" t="s">
        <v>24</v>
      </c>
      <c r="K25" s="12" t="s">
        <v>24</v>
      </c>
      <c r="L25" s="12" t="s">
        <v>24</v>
      </c>
      <c r="M25" s="12" t="s">
        <v>24</v>
      </c>
      <c r="N25" s="12" t="s">
        <v>24</v>
      </c>
      <c r="O25" s="12" t="s">
        <v>24</v>
      </c>
      <c r="P25" s="12" t="s">
        <v>24</v>
      </c>
      <c r="Q25" s="12" t="s">
        <v>24</v>
      </c>
      <c r="R25" s="13" t="s">
        <v>24</v>
      </c>
      <c r="S25" s="12" t="s">
        <v>24</v>
      </c>
      <c r="T25" s="12" t="s">
        <v>24</v>
      </c>
      <c r="U25" s="12" t="s">
        <v>24</v>
      </c>
      <c r="V25" s="12" t="s">
        <v>24</v>
      </c>
      <c r="W25" s="12" t="s">
        <v>24</v>
      </c>
      <c r="X25" s="12" t="s">
        <v>24</v>
      </c>
      <c r="Y25" s="12" t="s">
        <v>24</v>
      </c>
      <c r="Z25" s="12" t="s">
        <v>24</v>
      </c>
      <c r="AA25" s="12" t="s">
        <v>24</v>
      </c>
      <c r="AB25" s="12" t="s">
        <v>24</v>
      </c>
      <c r="AC25" s="12" t="s">
        <v>24</v>
      </c>
      <c r="AD25" s="12" t="s">
        <v>24</v>
      </c>
      <c r="AE25" s="12" t="s">
        <v>24</v>
      </c>
      <c r="AF25" s="12" t="s">
        <v>24</v>
      </c>
      <c r="AG25" s="12" t="s">
        <v>24</v>
      </c>
      <c r="AH25" s="12" t="s">
        <v>24</v>
      </c>
      <c r="AI25" s="12" t="s">
        <v>24</v>
      </c>
      <c r="AJ25" s="12" t="s">
        <v>24</v>
      </c>
      <c r="AK25" s="12" t="s">
        <v>24</v>
      </c>
      <c r="AL25" s="12" t="s">
        <v>24</v>
      </c>
      <c r="AM25" s="12" t="s">
        <v>24</v>
      </c>
      <c r="AN25" s="13" t="s">
        <v>24</v>
      </c>
      <c r="AO25" s="12" t="s">
        <v>24</v>
      </c>
      <c r="AP25" s="12" t="s">
        <v>24</v>
      </c>
      <c r="AQ25" s="12" t="s">
        <v>24</v>
      </c>
      <c r="AR25" s="12" t="s">
        <v>24</v>
      </c>
      <c r="AS25" s="12" t="s">
        <v>24</v>
      </c>
      <c r="AT25" s="12" t="s">
        <v>24</v>
      </c>
      <c r="AU25" s="12" t="s">
        <v>24</v>
      </c>
      <c r="AV25" s="12" t="s">
        <v>24</v>
      </c>
      <c r="AW25" s="12" t="s">
        <v>24</v>
      </c>
      <c r="AX25" s="12" t="s">
        <v>24</v>
      </c>
      <c r="AY25" s="12" t="s">
        <v>24</v>
      </c>
      <c r="AZ25" s="12" t="s">
        <v>24</v>
      </c>
      <c r="BA25" s="12" t="s">
        <v>24</v>
      </c>
      <c r="BB25" s="12" t="s">
        <v>24</v>
      </c>
      <c r="BC25" s="12" t="s">
        <v>24</v>
      </c>
      <c r="BD25" s="12" t="s">
        <v>24</v>
      </c>
      <c r="BE25" s="12" t="s">
        <v>24</v>
      </c>
      <c r="BF25" s="12" t="s">
        <v>24</v>
      </c>
      <c r="BG25" s="12" t="s">
        <v>24</v>
      </c>
      <c r="BH25" s="12" t="s">
        <v>24</v>
      </c>
      <c r="BI25" s="13" t="s">
        <v>24</v>
      </c>
      <c r="BJ25" s="12" t="s">
        <v>24</v>
      </c>
      <c r="BK25" s="12" t="s">
        <v>24</v>
      </c>
      <c r="BL25" s="12" t="s">
        <v>24</v>
      </c>
      <c r="BM25" s="17">
        <f t="shared" si="0"/>
        <v>0</v>
      </c>
      <c r="BN25" s="17" cm="1">
        <f t="array" ref="BN25">SUM(COUNTIF(D25:BL25,{"A";"AT"}))</f>
        <v>61</v>
      </c>
      <c r="BO25" s="17">
        <f t="shared" si="1"/>
        <v>0</v>
      </c>
      <c r="BP25" s="17">
        <f t="shared" si="2"/>
        <v>0</v>
      </c>
      <c r="BQ25" s="18">
        <f t="shared" si="3"/>
        <v>61</v>
      </c>
    </row>
    <row r="26" spans="1:69" ht="20.25" customHeight="1" thickBot="1" x14ac:dyDescent="0.25">
      <c r="A26" s="1">
        <v>16</v>
      </c>
      <c r="B26" s="94">
        <f>+'1ER TRIMESTRE'!B26</f>
        <v>0</v>
      </c>
      <c r="C26" s="95"/>
      <c r="D26" s="11" t="s">
        <v>24</v>
      </c>
      <c r="E26" s="12" t="s">
        <v>24</v>
      </c>
      <c r="F26" s="12" t="s">
        <v>24</v>
      </c>
      <c r="G26" s="12" t="s">
        <v>24</v>
      </c>
      <c r="H26" s="12" t="s">
        <v>24</v>
      </c>
      <c r="I26" s="12" t="s">
        <v>24</v>
      </c>
      <c r="J26" s="12" t="s">
        <v>24</v>
      </c>
      <c r="K26" s="12" t="s">
        <v>24</v>
      </c>
      <c r="L26" s="12" t="s">
        <v>24</v>
      </c>
      <c r="M26" s="12" t="s">
        <v>24</v>
      </c>
      <c r="N26" s="12" t="s">
        <v>24</v>
      </c>
      <c r="O26" s="12" t="s">
        <v>24</v>
      </c>
      <c r="P26" s="12" t="s">
        <v>24</v>
      </c>
      <c r="Q26" s="12" t="s">
        <v>24</v>
      </c>
      <c r="R26" s="13" t="s">
        <v>24</v>
      </c>
      <c r="S26" s="12" t="s">
        <v>24</v>
      </c>
      <c r="T26" s="12" t="s">
        <v>24</v>
      </c>
      <c r="U26" s="12" t="s">
        <v>24</v>
      </c>
      <c r="V26" s="12" t="s">
        <v>24</v>
      </c>
      <c r="W26" s="12" t="s">
        <v>24</v>
      </c>
      <c r="X26" s="12" t="s">
        <v>24</v>
      </c>
      <c r="Y26" s="12" t="s">
        <v>24</v>
      </c>
      <c r="Z26" s="12" t="s">
        <v>24</v>
      </c>
      <c r="AA26" s="12" t="s">
        <v>24</v>
      </c>
      <c r="AB26" s="12" t="s">
        <v>24</v>
      </c>
      <c r="AC26" s="12" t="s">
        <v>24</v>
      </c>
      <c r="AD26" s="12" t="s">
        <v>24</v>
      </c>
      <c r="AE26" s="12" t="s">
        <v>24</v>
      </c>
      <c r="AF26" s="12" t="s">
        <v>24</v>
      </c>
      <c r="AG26" s="12" t="s">
        <v>24</v>
      </c>
      <c r="AH26" s="12" t="s">
        <v>24</v>
      </c>
      <c r="AI26" s="12" t="s">
        <v>24</v>
      </c>
      <c r="AJ26" s="12" t="s">
        <v>24</v>
      </c>
      <c r="AK26" s="12" t="s">
        <v>24</v>
      </c>
      <c r="AL26" s="12" t="s">
        <v>24</v>
      </c>
      <c r="AM26" s="12" t="s">
        <v>24</v>
      </c>
      <c r="AN26" s="13" t="s">
        <v>24</v>
      </c>
      <c r="AO26" s="12" t="s">
        <v>24</v>
      </c>
      <c r="AP26" s="12" t="s">
        <v>24</v>
      </c>
      <c r="AQ26" s="12" t="s">
        <v>24</v>
      </c>
      <c r="AR26" s="12" t="s">
        <v>24</v>
      </c>
      <c r="AS26" s="12" t="s">
        <v>24</v>
      </c>
      <c r="AT26" s="12" t="s">
        <v>24</v>
      </c>
      <c r="AU26" s="12" t="s">
        <v>24</v>
      </c>
      <c r="AV26" s="12" t="s">
        <v>24</v>
      </c>
      <c r="AW26" s="12" t="s">
        <v>24</v>
      </c>
      <c r="AX26" s="12" t="s">
        <v>24</v>
      </c>
      <c r="AY26" s="12" t="s">
        <v>24</v>
      </c>
      <c r="AZ26" s="12" t="s">
        <v>24</v>
      </c>
      <c r="BA26" s="12" t="s">
        <v>24</v>
      </c>
      <c r="BB26" s="12" t="s">
        <v>24</v>
      </c>
      <c r="BC26" s="12" t="s">
        <v>24</v>
      </c>
      <c r="BD26" s="12" t="s">
        <v>24</v>
      </c>
      <c r="BE26" s="12" t="s">
        <v>24</v>
      </c>
      <c r="BF26" s="12" t="s">
        <v>24</v>
      </c>
      <c r="BG26" s="12" t="s">
        <v>24</v>
      </c>
      <c r="BH26" s="12" t="s">
        <v>24</v>
      </c>
      <c r="BI26" s="13" t="s">
        <v>24</v>
      </c>
      <c r="BJ26" s="12" t="s">
        <v>24</v>
      </c>
      <c r="BK26" s="12" t="s">
        <v>24</v>
      </c>
      <c r="BL26" s="12" t="s">
        <v>24</v>
      </c>
      <c r="BM26" s="17">
        <f t="shared" si="0"/>
        <v>0</v>
      </c>
      <c r="BN26" s="17" cm="1">
        <f t="array" ref="BN26">SUM(COUNTIF(D26:BL26,{"A";"AT"}))</f>
        <v>61</v>
      </c>
      <c r="BO26" s="17">
        <f t="shared" si="1"/>
        <v>0</v>
      </c>
      <c r="BP26" s="17">
        <f t="shared" si="2"/>
        <v>0</v>
      </c>
      <c r="BQ26" s="18">
        <f t="shared" si="3"/>
        <v>61</v>
      </c>
    </row>
    <row r="27" spans="1:69" ht="20.25" customHeight="1" thickBot="1" x14ac:dyDescent="0.25">
      <c r="A27" s="1">
        <v>17</v>
      </c>
      <c r="B27" s="94">
        <f>+'1ER TRIMESTRE'!B27</f>
        <v>0</v>
      </c>
      <c r="C27" s="95"/>
      <c r="D27" s="11" t="s">
        <v>24</v>
      </c>
      <c r="E27" s="12" t="s">
        <v>24</v>
      </c>
      <c r="F27" s="12" t="s">
        <v>24</v>
      </c>
      <c r="G27" s="12" t="s">
        <v>24</v>
      </c>
      <c r="H27" s="12" t="s">
        <v>24</v>
      </c>
      <c r="I27" s="12" t="s">
        <v>24</v>
      </c>
      <c r="J27" s="12" t="s">
        <v>24</v>
      </c>
      <c r="K27" s="12" t="s">
        <v>24</v>
      </c>
      <c r="L27" s="12" t="s">
        <v>24</v>
      </c>
      <c r="M27" s="12" t="s">
        <v>24</v>
      </c>
      <c r="N27" s="12" t="s">
        <v>24</v>
      </c>
      <c r="O27" s="12" t="s">
        <v>24</v>
      </c>
      <c r="P27" s="12" t="s">
        <v>24</v>
      </c>
      <c r="Q27" s="12" t="s">
        <v>24</v>
      </c>
      <c r="R27" s="13" t="s">
        <v>24</v>
      </c>
      <c r="S27" s="12" t="s">
        <v>24</v>
      </c>
      <c r="T27" s="12" t="s">
        <v>24</v>
      </c>
      <c r="U27" s="12" t="s">
        <v>24</v>
      </c>
      <c r="V27" s="12" t="s">
        <v>24</v>
      </c>
      <c r="W27" s="12" t="s">
        <v>24</v>
      </c>
      <c r="X27" s="12" t="s">
        <v>24</v>
      </c>
      <c r="Y27" s="12" t="s">
        <v>24</v>
      </c>
      <c r="Z27" s="12" t="s">
        <v>24</v>
      </c>
      <c r="AA27" s="12" t="s">
        <v>24</v>
      </c>
      <c r="AB27" s="12" t="s">
        <v>24</v>
      </c>
      <c r="AC27" s="12" t="s">
        <v>24</v>
      </c>
      <c r="AD27" s="12" t="s">
        <v>24</v>
      </c>
      <c r="AE27" s="12" t="s">
        <v>24</v>
      </c>
      <c r="AF27" s="12" t="s">
        <v>24</v>
      </c>
      <c r="AG27" s="12" t="s">
        <v>24</v>
      </c>
      <c r="AH27" s="12" t="s">
        <v>24</v>
      </c>
      <c r="AI27" s="12" t="s">
        <v>24</v>
      </c>
      <c r="AJ27" s="12" t="s">
        <v>24</v>
      </c>
      <c r="AK27" s="12" t="s">
        <v>24</v>
      </c>
      <c r="AL27" s="12" t="s">
        <v>24</v>
      </c>
      <c r="AM27" s="12" t="s">
        <v>24</v>
      </c>
      <c r="AN27" s="13" t="s">
        <v>24</v>
      </c>
      <c r="AO27" s="12" t="s">
        <v>24</v>
      </c>
      <c r="AP27" s="12" t="s">
        <v>24</v>
      </c>
      <c r="AQ27" s="12" t="s">
        <v>24</v>
      </c>
      <c r="AR27" s="12" t="s">
        <v>24</v>
      </c>
      <c r="AS27" s="12" t="s">
        <v>24</v>
      </c>
      <c r="AT27" s="12" t="s">
        <v>24</v>
      </c>
      <c r="AU27" s="12" t="s">
        <v>24</v>
      </c>
      <c r="AV27" s="12" t="s">
        <v>24</v>
      </c>
      <c r="AW27" s="12" t="s">
        <v>24</v>
      </c>
      <c r="AX27" s="12" t="s">
        <v>24</v>
      </c>
      <c r="AY27" s="12" t="s">
        <v>24</v>
      </c>
      <c r="AZ27" s="12" t="s">
        <v>24</v>
      </c>
      <c r="BA27" s="12" t="s">
        <v>24</v>
      </c>
      <c r="BB27" s="12" t="s">
        <v>24</v>
      </c>
      <c r="BC27" s="12" t="s">
        <v>24</v>
      </c>
      <c r="BD27" s="12" t="s">
        <v>24</v>
      </c>
      <c r="BE27" s="12" t="s">
        <v>24</v>
      </c>
      <c r="BF27" s="12" t="s">
        <v>24</v>
      </c>
      <c r="BG27" s="12" t="s">
        <v>24</v>
      </c>
      <c r="BH27" s="12" t="s">
        <v>24</v>
      </c>
      <c r="BI27" s="13" t="s">
        <v>24</v>
      </c>
      <c r="BJ27" s="12" t="s">
        <v>24</v>
      </c>
      <c r="BK27" s="12" t="s">
        <v>24</v>
      </c>
      <c r="BL27" s="12" t="s">
        <v>24</v>
      </c>
      <c r="BM27" s="17">
        <f t="shared" si="0"/>
        <v>0</v>
      </c>
      <c r="BN27" s="17" cm="1">
        <f t="array" ref="BN27">SUM(COUNTIF(D27:BL27,{"A";"AT"}))</f>
        <v>61</v>
      </c>
      <c r="BO27" s="17">
        <f t="shared" si="1"/>
        <v>0</v>
      </c>
      <c r="BP27" s="17">
        <f t="shared" si="2"/>
        <v>0</v>
      </c>
      <c r="BQ27" s="18">
        <f t="shared" si="3"/>
        <v>61</v>
      </c>
    </row>
    <row r="28" spans="1:69" ht="20.25" customHeight="1" thickBot="1" x14ac:dyDescent="0.25">
      <c r="A28" s="1">
        <v>18</v>
      </c>
      <c r="B28" s="94">
        <f>+'1ER TRIMESTRE'!B28</f>
        <v>0</v>
      </c>
      <c r="C28" s="95"/>
      <c r="D28" s="11" t="s">
        <v>24</v>
      </c>
      <c r="E28" s="12" t="s">
        <v>24</v>
      </c>
      <c r="F28" s="12" t="s">
        <v>24</v>
      </c>
      <c r="G28" s="12" t="s">
        <v>24</v>
      </c>
      <c r="H28" s="12" t="s">
        <v>24</v>
      </c>
      <c r="I28" s="12" t="s">
        <v>24</v>
      </c>
      <c r="J28" s="12" t="s">
        <v>24</v>
      </c>
      <c r="K28" s="12" t="s">
        <v>24</v>
      </c>
      <c r="L28" s="12" t="s">
        <v>24</v>
      </c>
      <c r="M28" s="12" t="s">
        <v>24</v>
      </c>
      <c r="N28" s="12" t="s">
        <v>24</v>
      </c>
      <c r="O28" s="12" t="s">
        <v>24</v>
      </c>
      <c r="P28" s="12" t="s">
        <v>24</v>
      </c>
      <c r="Q28" s="12" t="s">
        <v>24</v>
      </c>
      <c r="R28" s="13" t="s">
        <v>24</v>
      </c>
      <c r="S28" s="12" t="s">
        <v>24</v>
      </c>
      <c r="T28" s="12" t="s">
        <v>24</v>
      </c>
      <c r="U28" s="12" t="s">
        <v>24</v>
      </c>
      <c r="V28" s="12" t="s">
        <v>24</v>
      </c>
      <c r="W28" s="12" t="s">
        <v>24</v>
      </c>
      <c r="X28" s="12" t="s">
        <v>24</v>
      </c>
      <c r="Y28" s="12" t="s">
        <v>24</v>
      </c>
      <c r="Z28" s="12" t="s">
        <v>24</v>
      </c>
      <c r="AA28" s="12" t="s">
        <v>24</v>
      </c>
      <c r="AB28" s="12" t="s">
        <v>24</v>
      </c>
      <c r="AC28" s="12" t="s">
        <v>24</v>
      </c>
      <c r="AD28" s="12" t="s">
        <v>24</v>
      </c>
      <c r="AE28" s="12" t="s">
        <v>24</v>
      </c>
      <c r="AF28" s="12" t="s">
        <v>24</v>
      </c>
      <c r="AG28" s="12" t="s">
        <v>24</v>
      </c>
      <c r="AH28" s="12" t="s">
        <v>24</v>
      </c>
      <c r="AI28" s="12" t="s">
        <v>24</v>
      </c>
      <c r="AJ28" s="12" t="s">
        <v>24</v>
      </c>
      <c r="AK28" s="12" t="s">
        <v>24</v>
      </c>
      <c r="AL28" s="12" t="s">
        <v>24</v>
      </c>
      <c r="AM28" s="12" t="s">
        <v>24</v>
      </c>
      <c r="AN28" s="13" t="s">
        <v>24</v>
      </c>
      <c r="AO28" s="12" t="s">
        <v>24</v>
      </c>
      <c r="AP28" s="12" t="s">
        <v>24</v>
      </c>
      <c r="AQ28" s="12" t="s">
        <v>24</v>
      </c>
      <c r="AR28" s="12" t="s">
        <v>24</v>
      </c>
      <c r="AS28" s="12" t="s">
        <v>24</v>
      </c>
      <c r="AT28" s="12" t="s">
        <v>24</v>
      </c>
      <c r="AU28" s="12" t="s">
        <v>24</v>
      </c>
      <c r="AV28" s="12" t="s">
        <v>24</v>
      </c>
      <c r="AW28" s="12" t="s">
        <v>24</v>
      </c>
      <c r="AX28" s="12" t="s">
        <v>24</v>
      </c>
      <c r="AY28" s="12" t="s">
        <v>24</v>
      </c>
      <c r="AZ28" s="12" t="s">
        <v>24</v>
      </c>
      <c r="BA28" s="12" t="s">
        <v>24</v>
      </c>
      <c r="BB28" s="12" t="s">
        <v>24</v>
      </c>
      <c r="BC28" s="12" t="s">
        <v>24</v>
      </c>
      <c r="BD28" s="12" t="s">
        <v>24</v>
      </c>
      <c r="BE28" s="12" t="s">
        <v>24</v>
      </c>
      <c r="BF28" s="12" t="s">
        <v>24</v>
      </c>
      <c r="BG28" s="12" t="s">
        <v>24</v>
      </c>
      <c r="BH28" s="12" t="s">
        <v>24</v>
      </c>
      <c r="BI28" s="13" t="s">
        <v>24</v>
      </c>
      <c r="BJ28" s="12" t="s">
        <v>24</v>
      </c>
      <c r="BK28" s="12" t="s">
        <v>24</v>
      </c>
      <c r="BL28" s="12" t="s">
        <v>24</v>
      </c>
      <c r="BM28" s="17">
        <f t="shared" si="0"/>
        <v>0</v>
      </c>
      <c r="BN28" s="17" cm="1">
        <f t="array" ref="BN28">SUM(COUNTIF(D28:BL28,{"A";"AT"}))</f>
        <v>61</v>
      </c>
      <c r="BO28" s="17">
        <f t="shared" si="1"/>
        <v>0</v>
      </c>
      <c r="BP28" s="17">
        <f t="shared" si="2"/>
        <v>0</v>
      </c>
      <c r="BQ28" s="18">
        <f t="shared" si="3"/>
        <v>61</v>
      </c>
    </row>
    <row r="29" spans="1:69" ht="20.25" customHeight="1" thickBot="1" x14ac:dyDescent="0.25">
      <c r="A29" s="1">
        <v>19</v>
      </c>
      <c r="B29" s="94">
        <f>+'1ER TRIMESTRE'!B29</f>
        <v>0</v>
      </c>
      <c r="C29" s="95"/>
      <c r="D29" s="11" t="s">
        <v>24</v>
      </c>
      <c r="E29" s="12" t="s">
        <v>24</v>
      </c>
      <c r="F29" s="12" t="s">
        <v>24</v>
      </c>
      <c r="G29" s="12" t="s">
        <v>24</v>
      </c>
      <c r="H29" s="12" t="s">
        <v>24</v>
      </c>
      <c r="I29" s="12" t="s">
        <v>24</v>
      </c>
      <c r="J29" s="12" t="s">
        <v>24</v>
      </c>
      <c r="K29" s="12" t="s">
        <v>24</v>
      </c>
      <c r="L29" s="12" t="s">
        <v>24</v>
      </c>
      <c r="M29" s="12" t="s">
        <v>24</v>
      </c>
      <c r="N29" s="12" t="s">
        <v>24</v>
      </c>
      <c r="O29" s="12" t="s">
        <v>24</v>
      </c>
      <c r="P29" s="12" t="s">
        <v>24</v>
      </c>
      <c r="Q29" s="12" t="s">
        <v>24</v>
      </c>
      <c r="R29" s="13" t="s">
        <v>24</v>
      </c>
      <c r="S29" s="12" t="s">
        <v>24</v>
      </c>
      <c r="T29" s="12" t="s">
        <v>24</v>
      </c>
      <c r="U29" s="12" t="s">
        <v>24</v>
      </c>
      <c r="V29" s="12" t="s">
        <v>24</v>
      </c>
      <c r="W29" s="12" t="s">
        <v>24</v>
      </c>
      <c r="X29" s="12" t="s">
        <v>24</v>
      </c>
      <c r="Y29" s="12" t="s">
        <v>24</v>
      </c>
      <c r="Z29" s="12" t="s">
        <v>24</v>
      </c>
      <c r="AA29" s="12" t="s">
        <v>24</v>
      </c>
      <c r="AB29" s="12" t="s">
        <v>24</v>
      </c>
      <c r="AC29" s="12" t="s">
        <v>24</v>
      </c>
      <c r="AD29" s="12" t="s">
        <v>24</v>
      </c>
      <c r="AE29" s="12" t="s">
        <v>24</v>
      </c>
      <c r="AF29" s="12" t="s">
        <v>24</v>
      </c>
      <c r="AG29" s="12" t="s">
        <v>24</v>
      </c>
      <c r="AH29" s="12" t="s">
        <v>24</v>
      </c>
      <c r="AI29" s="12" t="s">
        <v>24</v>
      </c>
      <c r="AJ29" s="12" t="s">
        <v>24</v>
      </c>
      <c r="AK29" s="12" t="s">
        <v>24</v>
      </c>
      <c r="AL29" s="12" t="s">
        <v>24</v>
      </c>
      <c r="AM29" s="12" t="s">
        <v>24</v>
      </c>
      <c r="AN29" s="13" t="s">
        <v>24</v>
      </c>
      <c r="AO29" s="12" t="s">
        <v>24</v>
      </c>
      <c r="AP29" s="12" t="s">
        <v>24</v>
      </c>
      <c r="AQ29" s="12" t="s">
        <v>24</v>
      </c>
      <c r="AR29" s="12" t="s">
        <v>24</v>
      </c>
      <c r="AS29" s="12" t="s">
        <v>24</v>
      </c>
      <c r="AT29" s="12" t="s">
        <v>24</v>
      </c>
      <c r="AU29" s="12" t="s">
        <v>24</v>
      </c>
      <c r="AV29" s="12" t="s">
        <v>24</v>
      </c>
      <c r="AW29" s="12" t="s">
        <v>24</v>
      </c>
      <c r="AX29" s="12" t="s">
        <v>24</v>
      </c>
      <c r="AY29" s="12" t="s">
        <v>24</v>
      </c>
      <c r="AZ29" s="12" t="s">
        <v>24</v>
      </c>
      <c r="BA29" s="12" t="s">
        <v>24</v>
      </c>
      <c r="BB29" s="12" t="s">
        <v>24</v>
      </c>
      <c r="BC29" s="12" t="s">
        <v>24</v>
      </c>
      <c r="BD29" s="12" t="s">
        <v>24</v>
      </c>
      <c r="BE29" s="12" t="s">
        <v>24</v>
      </c>
      <c r="BF29" s="12" t="s">
        <v>24</v>
      </c>
      <c r="BG29" s="12" t="s">
        <v>24</v>
      </c>
      <c r="BH29" s="12" t="s">
        <v>24</v>
      </c>
      <c r="BI29" s="13" t="s">
        <v>24</v>
      </c>
      <c r="BJ29" s="12" t="s">
        <v>24</v>
      </c>
      <c r="BK29" s="12" t="s">
        <v>24</v>
      </c>
      <c r="BL29" s="12" t="s">
        <v>24</v>
      </c>
      <c r="BM29" s="17">
        <f t="shared" si="0"/>
        <v>0</v>
      </c>
      <c r="BN29" s="17" cm="1">
        <f t="array" ref="BN29">SUM(COUNTIF(D29:BL29,{"A";"AT"}))</f>
        <v>61</v>
      </c>
      <c r="BO29" s="17">
        <f t="shared" si="1"/>
        <v>0</v>
      </c>
      <c r="BP29" s="17">
        <f t="shared" si="2"/>
        <v>0</v>
      </c>
      <c r="BQ29" s="18">
        <f t="shared" si="3"/>
        <v>61</v>
      </c>
    </row>
    <row r="30" spans="1:69" ht="20.25" customHeight="1" thickBot="1" x14ac:dyDescent="0.25">
      <c r="A30" s="1">
        <v>20</v>
      </c>
      <c r="B30" s="94">
        <f>+'1ER TRIMESTRE'!B30</f>
        <v>0</v>
      </c>
      <c r="C30" s="95"/>
      <c r="D30" s="11" t="s">
        <v>24</v>
      </c>
      <c r="E30" s="12" t="s">
        <v>24</v>
      </c>
      <c r="F30" s="12" t="s">
        <v>24</v>
      </c>
      <c r="G30" s="12" t="s">
        <v>24</v>
      </c>
      <c r="H30" s="12" t="s">
        <v>24</v>
      </c>
      <c r="I30" s="12" t="s">
        <v>24</v>
      </c>
      <c r="J30" s="12" t="s">
        <v>24</v>
      </c>
      <c r="K30" s="12" t="s">
        <v>24</v>
      </c>
      <c r="L30" s="12" t="s">
        <v>24</v>
      </c>
      <c r="M30" s="12" t="s">
        <v>24</v>
      </c>
      <c r="N30" s="12" t="s">
        <v>24</v>
      </c>
      <c r="O30" s="12" t="s">
        <v>24</v>
      </c>
      <c r="P30" s="12" t="s">
        <v>24</v>
      </c>
      <c r="Q30" s="12" t="s">
        <v>24</v>
      </c>
      <c r="R30" s="13" t="s">
        <v>24</v>
      </c>
      <c r="S30" s="12" t="s">
        <v>24</v>
      </c>
      <c r="T30" s="12" t="s">
        <v>24</v>
      </c>
      <c r="U30" s="12" t="s">
        <v>24</v>
      </c>
      <c r="V30" s="12" t="s">
        <v>24</v>
      </c>
      <c r="W30" s="12" t="s">
        <v>24</v>
      </c>
      <c r="X30" s="12" t="s">
        <v>24</v>
      </c>
      <c r="Y30" s="12" t="s">
        <v>24</v>
      </c>
      <c r="Z30" s="12" t="s">
        <v>24</v>
      </c>
      <c r="AA30" s="12" t="s">
        <v>24</v>
      </c>
      <c r="AB30" s="12" t="s">
        <v>24</v>
      </c>
      <c r="AC30" s="12" t="s">
        <v>24</v>
      </c>
      <c r="AD30" s="12" t="s">
        <v>24</v>
      </c>
      <c r="AE30" s="12" t="s">
        <v>24</v>
      </c>
      <c r="AF30" s="12" t="s">
        <v>24</v>
      </c>
      <c r="AG30" s="12" t="s">
        <v>24</v>
      </c>
      <c r="AH30" s="12" t="s">
        <v>24</v>
      </c>
      <c r="AI30" s="12" t="s">
        <v>24</v>
      </c>
      <c r="AJ30" s="12" t="s">
        <v>24</v>
      </c>
      <c r="AK30" s="12" t="s">
        <v>24</v>
      </c>
      <c r="AL30" s="12" t="s">
        <v>24</v>
      </c>
      <c r="AM30" s="12" t="s">
        <v>24</v>
      </c>
      <c r="AN30" s="13" t="s">
        <v>24</v>
      </c>
      <c r="AO30" s="12" t="s">
        <v>24</v>
      </c>
      <c r="AP30" s="12" t="s">
        <v>24</v>
      </c>
      <c r="AQ30" s="12" t="s">
        <v>24</v>
      </c>
      <c r="AR30" s="12" t="s">
        <v>24</v>
      </c>
      <c r="AS30" s="12" t="s">
        <v>24</v>
      </c>
      <c r="AT30" s="12" t="s">
        <v>24</v>
      </c>
      <c r="AU30" s="12" t="s">
        <v>24</v>
      </c>
      <c r="AV30" s="12" t="s">
        <v>24</v>
      </c>
      <c r="AW30" s="12" t="s">
        <v>24</v>
      </c>
      <c r="AX30" s="12" t="s">
        <v>24</v>
      </c>
      <c r="AY30" s="12" t="s">
        <v>24</v>
      </c>
      <c r="AZ30" s="12" t="s">
        <v>24</v>
      </c>
      <c r="BA30" s="12" t="s">
        <v>24</v>
      </c>
      <c r="BB30" s="12" t="s">
        <v>24</v>
      </c>
      <c r="BC30" s="12" t="s">
        <v>24</v>
      </c>
      <c r="BD30" s="12" t="s">
        <v>24</v>
      </c>
      <c r="BE30" s="12" t="s">
        <v>24</v>
      </c>
      <c r="BF30" s="12" t="s">
        <v>24</v>
      </c>
      <c r="BG30" s="12" t="s">
        <v>24</v>
      </c>
      <c r="BH30" s="12" t="s">
        <v>24</v>
      </c>
      <c r="BI30" s="13" t="s">
        <v>24</v>
      </c>
      <c r="BJ30" s="12" t="s">
        <v>24</v>
      </c>
      <c r="BK30" s="12" t="s">
        <v>24</v>
      </c>
      <c r="BL30" s="12" t="s">
        <v>24</v>
      </c>
      <c r="BM30" s="17">
        <f t="shared" si="0"/>
        <v>0</v>
      </c>
      <c r="BN30" s="17" cm="1">
        <f t="array" ref="BN30">SUM(COUNTIF(D30:BL30,{"A";"AT"}))</f>
        <v>61</v>
      </c>
      <c r="BO30" s="17">
        <f t="shared" si="1"/>
        <v>0</v>
      </c>
      <c r="BP30" s="17">
        <f t="shared" si="2"/>
        <v>0</v>
      </c>
      <c r="BQ30" s="18">
        <f t="shared" si="3"/>
        <v>61</v>
      </c>
    </row>
    <row r="31" spans="1:69" ht="20.25" customHeight="1" thickBot="1" x14ac:dyDescent="0.25">
      <c r="A31" s="1">
        <v>21</v>
      </c>
      <c r="B31" s="94">
        <f>+'1ER TRIMESTRE'!B31</f>
        <v>0</v>
      </c>
      <c r="C31" s="95"/>
      <c r="D31" s="11" t="s">
        <v>24</v>
      </c>
      <c r="E31" s="12" t="s">
        <v>24</v>
      </c>
      <c r="F31" s="12" t="s">
        <v>24</v>
      </c>
      <c r="G31" s="12" t="s">
        <v>24</v>
      </c>
      <c r="H31" s="12" t="s">
        <v>24</v>
      </c>
      <c r="I31" s="12" t="s">
        <v>24</v>
      </c>
      <c r="J31" s="12" t="s">
        <v>24</v>
      </c>
      <c r="K31" s="12" t="s">
        <v>24</v>
      </c>
      <c r="L31" s="12" t="s">
        <v>24</v>
      </c>
      <c r="M31" s="12" t="s">
        <v>24</v>
      </c>
      <c r="N31" s="12" t="s">
        <v>24</v>
      </c>
      <c r="O31" s="12" t="s">
        <v>24</v>
      </c>
      <c r="P31" s="12" t="s">
        <v>24</v>
      </c>
      <c r="Q31" s="12" t="s">
        <v>24</v>
      </c>
      <c r="R31" s="13" t="s">
        <v>24</v>
      </c>
      <c r="S31" s="12" t="s">
        <v>24</v>
      </c>
      <c r="T31" s="12" t="s">
        <v>24</v>
      </c>
      <c r="U31" s="12" t="s">
        <v>24</v>
      </c>
      <c r="V31" s="12" t="s">
        <v>24</v>
      </c>
      <c r="W31" s="12" t="s">
        <v>24</v>
      </c>
      <c r="X31" s="12" t="s">
        <v>24</v>
      </c>
      <c r="Y31" s="12" t="s">
        <v>24</v>
      </c>
      <c r="Z31" s="12" t="s">
        <v>24</v>
      </c>
      <c r="AA31" s="12" t="s">
        <v>24</v>
      </c>
      <c r="AB31" s="12" t="s">
        <v>24</v>
      </c>
      <c r="AC31" s="12" t="s">
        <v>24</v>
      </c>
      <c r="AD31" s="12" t="s">
        <v>24</v>
      </c>
      <c r="AE31" s="12" t="s">
        <v>24</v>
      </c>
      <c r="AF31" s="12" t="s">
        <v>24</v>
      </c>
      <c r="AG31" s="12" t="s">
        <v>24</v>
      </c>
      <c r="AH31" s="12" t="s">
        <v>24</v>
      </c>
      <c r="AI31" s="12" t="s">
        <v>24</v>
      </c>
      <c r="AJ31" s="12" t="s">
        <v>24</v>
      </c>
      <c r="AK31" s="12" t="s">
        <v>24</v>
      </c>
      <c r="AL31" s="12" t="s">
        <v>24</v>
      </c>
      <c r="AM31" s="12" t="s">
        <v>24</v>
      </c>
      <c r="AN31" s="13" t="s">
        <v>24</v>
      </c>
      <c r="AO31" s="12" t="s">
        <v>24</v>
      </c>
      <c r="AP31" s="12" t="s">
        <v>24</v>
      </c>
      <c r="AQ31" s="12" t="s">
        <v>24</v>
      </c>
      <c r="AR31" s="12" t="s">
        <v>24</v>
      </c>
      <c r="AS31" s="12" t="s">
        <v>24</v>
      </c>
      <c r="AT31" s="12" t="s">
        <v>24</v>
      </c>
      <c r="AU31" s="12" t="s">
        <v>24</v>
      </c>
      <c r="AV31" s="12" t="s">
        <v>24</v>
      </c>
      <c r="AW31" s="12" t="s">
        <v>24</v>
      </c>
      <c r="AX31" s="12" t="s">
        <v>24</v>
      </c>
      <c r="AY31" s="12" t="s">
        <v>24</v>
      </c>
      <c r="AZ31" s="12" t="s">
        <v>24</v>
      </c>
      <c r="BA31" s="12" t="s">
        <v>24</v>
      </c>
      <c r="BB31" s="12" t="s">
        <v>24</v>
      </c>
      <c r="BC31" s="12" t="s">
        <v>24</v>
      </c>
      <c r="BD31" s="12" t="s">
        <v>24</v>
      </c>
      <c r="BE31" s="12" t="s">
        <v>24</v>
      </c>
      <c r="BF31" s="12" t="s">
        <v>24</v>
      </c>
      <c r="BG31" s="12" t="s">
        <v>24</v>
      </c>
      <c r="BH31" s="12" t="s">
        <v>24</v>
      </c>
      <c r="BI31" s="13" t="s">
        <v>24</v>
      </c>
      <c r="BJ31" s="12" t="s">
        <v>24</v>
      </c>
      <c r="BK31" s="12" t="s">
        <v>24</v>
      </c>
      <c r="BL31" s="12" t="s">
        <v>24</v>
      </c>
      <c r="BM31" s="17">
        <f t="shared" si="0"/>
        <v>0</v>
      </c>
      <c r="BN31" s="17" cm="1">
        <f t="array" ref="BN31">SUM(COUNTIF(D31:BL31,{"A";"AT"}))</f>
        <v>61</v>
      </c>
      <c r="BO31" s="17">
        <f t="shared" si="1"/>
        <v>0</v>
      </c>
      <c r="BP31" s="17">
        <f t="shared" si="2"/>
        <v>0</v>
      </c>
      <c r="BQ31" s="18">
        <f t="shared" si="3"/>
        <v>61</v>
      </c>
    </row>
    <row r="32" spans="1:69" ht="20.25" customHeight="1" thickBot="1" x14ac:dyDescent="0.25">
      <c r="A32" s="1">
        <v>22</v>
      </c>
      <c r="B32" s="94">
        <f>+'1ER TRIMESTRE'!B32</f>
        <v>0</v>
      </c>
      <c r="C32" s="95"/>
      <c r="D32" s="11" t="s">
        <v>24</v>
      </c>
      <c r="E32" s="12" t="s">
        <v>24</v>
      </c>
      <c r="F32" s="12" t="s">
        <v>24</v>
      </c>
      <c r="G32" s="12" t="s">
        <v>24</v>
      </c>
      <c r="H32" s="12" t="s">
        <v>24</v>
      </c>
      <c r="I32" s="12" t="s">
        <v>24</v>
      </c>
      <c r="J32" s="12" t="s">
        <v>24</v>
      </c>
      <c r="K32" s="12" t="s">
        <v>24</v>
      </c>
      <c r="L32" s="12" t="s">
        <v>24</v>
      </c>
      <c r="M32" s="12" t="s">
        <v>24</v>
      </c>
      <c r="N32" s="12" t="s">
        <v>24</v>
      </c>
      <c r="O32" s="12" t="s">
        <v>24</v>
      </c>
      <c r="P32" s="12" t="s">
        <v>24</v>
      </c>
      <c r="Q32" s="12" t="s">
        <v>24</v>
      </c>
      <c r="R32" s="13" t="s">
        <v>24</v>
      </c>
      <c r="S32" s="12" t="s">
        <v>24</v>
      </c>
      <c r="T32" s="12" t="s">
        <v>24</v>
      </c>
      <c r="U32" s="12" t="s">
        <v>24</v>
      </c>
      <c r="V32" s="12" t="s">
        <v>24</v>
      </c>
      <c r="W32" s="12" t="s">
        <v>24</v>
      </c>
      <c r="X32" s="12" t="s">
        <v>24</v>
      </c>
      <c r="Y32" s="12" t="s">
        <v>24</v>
      </c>
      <c r="Z32" s="12" t="s">
        <v>24</v>
      </c>
      <c r="AA32" s="12" t="s">
        <v>24</v>
      </c>
      <c r="AB32" s="12" t="s">
        <v>24</v>
      </c>
      <c r="AC32" s="12" t="s">
        <v>24</v>
      </c>
      <c r="AD32" s="12" t="s">
        <v>24</v>
      </c>
      <c r="AE32" s="12" t="s">
        <v>24</v>
      </c>
      <c r="AF32" s="12" t="s">
        <v>24</v>
      </c>
      <c r="AG32" s="12" t="s">
        <v>24</v>
      </c>
      <c r="AH32" s="12" t="s">
        <v>24</v>
      </c>
      <c r="AI32" s="12" t="s">
        <v>24</v>
      </c>
      <c r="AJ32" s="12" t="s">
        <v>24</v>
      </c>
      <c r="AK32" s="12" t="s">
        <v>24</v>
      </c>
      <c r="AL32" s="12" t="s">
        <v>24</v>
      </c>
      <c r="AM32" s="12" t="s">
        <v>24</v>
      </c>
      <c r="AN32" s="13" t="s">
        <v>24</v>
      </c>
      <c r="AO32" s="12" t="s">
        <v>24</v>
      </c>
      <c r="AP32" s="12" t="s">
        <v>24</v>
      </c>
      <c r="AQ32" s="12" t="s">
        <v>24</v>
      </c>
      <c r="AR32" s="12" t="s">
        <v>24</v>
      </c>
      <c r="AS32" s="12" t="s">
        <v>24</v>
      </c>
      <c r="AT32" s="12" t="s">
        <v>24</v>
      </c>
      <c r="AU32" s="12" t="s">
        <v>24</v>
      </c>
      <c r="AV32" s="12" t="s">
        <v>24</v>
      </c>
      <c r="AW32" s="12" t="s">
        <v>24</v>
      </c>
      <c r="AX32" s="12" t="s">
        <v>24</v>
      </c>
      <c r="AY32" s="12" t="s">
        <v>24</v>
      </c>
      <c r="AZ32" s="12" t="s">
        <v>24</v>
      </c>
      <c r="BA32" s="12" t="s">
        <v>24</v>
      </c>
      <c r="BB32" s="12" t="s">
        <v>24</v>
      </c>
      <c r="BC32" s="12" t="s">
        <v>24</v>
      </c>
      <c r="BD32" s="12" t="s">
        <v>24</v>
      </c>
      <c r="BE32" s="12" t="s">
        <v>24</v>
      </c>
      <c r="BF32" s="12" t="s">
        <v>24</v>
      </c>
      <c r="BG32" s="12" t="s">
        <v>24</v>
      </c>
      <c r="BH32" s="12" t="s">
        <v>24</v>
      </c>
      <c r="BI32" s="13" t="s">
        <v>24</v>
      </c>
      <c r="BJ32" s="12" t="s">
        <v>24</v>
      </c>
      <c r="BK32" s="12" t="s">
        <v>24</v>
      </c>
      <c r="BL32" s="12" t="s">
        <v>24</v>
      </c>
      <c r="BM32" s="17">
        <f t="shared" si="0"/>
        <v>0</v>
      </c>
      <c r="BN32" s="17" cm="1">
        <f t="array" ref="BN32">SUM(COUNTIF(D32:BL32,{"A";"AT"}))</f>
        <v>61</v>
      </c>
      <c r="BO32" s="17">
        <f t="shared" si="1"/>
        <v>0</v>
      </c>
      <c r="BP32" s="17">
        <f t="shared" si="2"/>
        <v>0</v>
      </c>
      <c r="BQ32" s="18">
        <f t="shared" si="3"/>
        <v>61</v>
      </c>
    </row>
    <row r="33" spans="1:81" ht="20.25" customHeight="1" thickBot="1" x14ac:dyDescent="0.25">
      <c r="A33" s="1">
        <v>23</v>
      </c>
      <c r="B33" s="94">
        <f>+'1ER TRIMESTRE'!B33</f>
        <v>0</v>
      </c>
      <c r="C33" s="95"/>
      <c r="D33" s="11" t="s">
        <v>24</v>
      </c>
      <c r="E33" s="12" t="s">
        <v>24</v>
      </c>
      <c r="F33" s="12" t="s">
        <v>24</v>
      </c>
      <c r="G33" s="12" t="s">
        <v>24</v>
      </c>
      <c r="H33" s="12" t="s">
        <v>24</v>
      </c>
      <c r="I33" s="12" t="s">
        <v>24</v>
      </c>
      <c r="J33" s="12" t="s">
        <v>24</v>
      </c>
      <c r="K33" s="12" t="s">
        <v>24</v>
      </c>
      <c r="L33" s="12" t="s">
        <v>24</v>
      </c>
      <c r="M33" s="12" t="s">
        <v>24</v>
      </c>
      <c r="N33" s="12" t="s">
        <v>24</v>
      </c>
      <c r="O33" s="12" t="s">
        <v>24</v>
      </c>
      <c r="P33" s="12" t="s">
        <v>24</v>
      </c>
      <c r="Q33" s="12" t="s">
        <v>24</v>
      </c>
      <c r="R33" s="13" t="s">
        <v>24</v>
      </c>
      <c r="S33" s="12" t="s">
        <v>24</v>
      </c>
      <c r="T33" s="12" t="s">
        <v>24</v>
      </c>
      <c r="U33" s="12" t="s">
        <v>24</v>
      </c>
      <c r="V33" s="12" t="s">
        <v>24</v>
      </c>
      <c r="W33" s="12" t="s">
        <v>24</v>
      </c>
      <c r="X33" s="12" t="s">
        <v>24</v>
      </c>
      <c r="Y33" s="12" t="s">
        <v>24</v>
      </c>
      <c r="Z33" s="12" t="s">
        <v>24</v>
      </c>
      <c r="AA33" s="12" t="s">
        <v>24</v>
      </c>
      <c r="AB33" s="12" t="s">
        <v>24</v>
      </c>
      <c r="AC33" s="12" t="s">
        <v>24</v>
      </c>
      <c r="AD33" s="12" t="s">
        <v>24</v>
      </c>
      <c r="AE33" s="12" t="s">
        <v>24</v>
      </c>
      <c r="AF33" s="12" t="s">
        <v>24</v>
      </c>
      <c r="AG33" s="12" t="s">
        <v>24</v>
      </c>
      <c r="AH33" s="12" t="s">
        <v>24</v>
      </c>
      <c r="AI33" s="12" t="s">
        <v>24</v>
      </c>
      <c r="AJ33" s="12" t="s">
        <v>24</v>
      </c>
      <c r="AK33" s="12" t="s">
        <v>24</v>
      </c>
      <c r="AL33" s="12" t="s">
        <v>24</v>
      </c>
      <c r="AM33" s="12" t="s">
        <v>24</v>
      </c>
      <c r="AN33" s="13" t="s">
        <v>24</v>
      </c>
      <c r="AO33" s="12" t="s">
        <v>24</v>
      </c>
      <c r="AP33" s="12" t="s">
        <v>24</v>
      </c>
      <c r="AQ33" s="12" t="s">
        <v>24</v>
      </c>
      <c r="AR33" s="12" t="s">
        <v>24</v>
      </c>
      <c r="AS33" s="12" t="s">
        <v>24</v>
      </c>
      <c r="AT33" s="12" t="s">
        <v>24</v>
      </c>
      <c r="AU33" s="12" t="s">
        <v>24</v>
      </c>
      <c r="AV33" s="12" t="s">
        <v>24</v>
      </c>
      <c r="AW33" s="12" t="s">
        <v>24</v>
      </c>
      <c r="AX33" s="12" t="s">
        <v>24</v>
      </c>
      <c r="AY33" s="12" t="s">
        <v>24</v>
      </c>
      <c r="AZ33" s="12" t="s">
        <v>24</v>
      </c>
      <c r="BA33" s="12" t="s">
        <v>24</v>
      </c>
      <c r="BB33" s="12" t="s">
        <v>24</v>
      </c>
      <c r="BC33" s="12" t="s">
        <v>24</v>
      </c>
      <c r="BD33" s="12" t="s">
        <v>24</v>
      </c>
      <c r="BE33" s="12" t="s">
        <v>24</v>
      </c>
      <c r="BF33" s="12" t="s">
        <v>24</v>
      </c>
      <c r="BG33" s="12" t="s">
        <v>24</v>
      </c>
      <c r="BH33" s="12" t="s">
        <v>24</v>
      </c>
      <c r="BI33" s="13" t="s">
        <v>24</v>
      </c>
      <c r="BJ33" s="12" t="s">
        <v>24</v>
      </c>
      <c r="BK33" s="12" t="s">
        <v>24</v>
      </c>
      <c r="BL33" s="12" t="s">
        <v>24</v>
      </c>
      <c r="BM33" s="17">
        <f t="shared" si="0"/>
        <v>0</v>
      </c>
      <c r="BN33" s="17" cm="1">
        <f t="array" ref="BN33">SUM(COUNTIF(D33:BL33,{"A";"AT"}))</f>
        <v>61</v>
      </c>
      <c r="BO33" s="17">
        <f t="shared" si="1"/>
        <v>0</v>
      </c>
      <c r="BP33" s="17">
        <f t="shared" si="2"/>
        <v>0</v>
      </c>
      <c r="BQ33" s="18">
        <f t="shared" si="3"/>
        <v>61</v>
      </c>
    </row>
    <row r="34" spans="1:81" ht="20.25" customHeight="1" thickBot="1" x14ac:dyDescent="0.25">
      <c r="A34" s="1">
        <v>24</v>
      </c>
      <c r="B34" s="94">
        <f>+'1ER TRIMESTRE'!B34</f>
        <v>0</v>
      </c>
      <c r="C34" s="95"/>
      <c r="D34" s="11" t="s">
        <v>24</v>
      </c>
      <c r="E34" s="12" t="s">
        <v>24</v>
      </c>
      <c r="F34" s="12" t="s">
        <v>24</v>
      </c>
      <c r="G34" s="12" t="s">
        <v>24</v>
      </c>
      <c r="H34" s="12" t="s">
        <v>24</v>
      </c>
      <c r="I34" s="12" t="s">
        <v>24</v>
      </c>
      <c r="J34" s="12" t="s">
        <v>24</v>
      </c>
      <c r="K34" s="12" t="s">
        <v>24</v>
      </c>
      <c r="L34" s="12" t="s">
        <v>24</v>
      </c>
      <c r="M34" s="12" t="s">
        <v>24</v>
      </c>
      <c r="N34" s="12" t="s">
        <v>24</v>
      </c>
      <c r="O34" s="12" t="s">
        <v>24</v>
      </c>
      <c r="P34" s="12" t="s">
        <v>24</v>
      </c>
      <c r="Q34" s="12" t="s">
        <v>24</v>
      </c>
      <c r="R34" s="13" t="s">
        <v>24</v>
      </c>
      <c r="S34" s="12" t="s">
        <v>24</v>
      </c>
      <c r="T34" s="12" t="s">
        <v>24</v>
      </c>
      <c r="U34" s="12" t="s">
        <v>24</v>
      </c>
      <c r="V34" s="12" t="s">
        <v>24</v>
      </c>
      <c r="W34" s="12" t="s">
        <v>24</v>
      </c>
      <c r="X34" s="12" t="s">
        <v>24</v>
      </c>
      <c r="Y34" s="12" t="s">
        <v>24</v>
      </c>
      <c r="Z34" s="12" t="s">
        <v>24</v>
      </c>
      <c r="AA34" s="12" t="s">
        <v>24</v>
      </c>
      <c r="AB34" s="12" t="s">
        <v>24</v>
      </c>
      <c r="AC34" s="12" t="s">
        <v>24</v>
      </c>
      <c r="AD34" s="12" t="s">
        <v>24</v>
      </c>
      <c r="AE34" s="12" t="s">
        <v>24</v>
      </c>
      <c r="AF34" s="12" t="s">
        <v>24</v>
      </c>
      <c r="AG34" s="12" t="s">
        <v>24</v>
      </c>
      <c r="AH34" s="12" t="s">
        <v>24</v>
      </c>
      <c r="AI34" s="12" t="s">
        <v>24</v>
      </c>
      <c r="AJ34" s="12" t="s">
        <v>24</v>
      </c>
      <c r="AK34" s="12" t="s">
        <v>24</v>
      </c>
      <c r="AL34" s="12" t="s">
        <v>24</v>
      </c>
      <c r="AM34" s="12" t="s">
        <v>24</v>
      </c>
      <c r="AN34" s="13" t="s">
        <v>24</v>
      </c>
      <c r="AO34" s="12" t="s">
        <v>24</v>
      </c>
      <c r="AP34" s="12" t="s">
        <v>24</v>
      </c>
      <c r="AQ34" s="12" t="s">
        <v>24</v>
      </c>
      <c r="AR34" s="12" t="s">
        <v>24</v>
      </c>
      <c r="AS34" s="12" t="s">
        <v>24</v>
      </c>
      <c r="AT34" s="12" t="s">
        <v>24</v>
      </c>
      <c r="AU34" s="12" t="s">
        <v>24</v>
      </c>
      <c r="AV34" s="12" t="s">
        <v>24</v>
      </c>
      <c r="AW34" s="12" t="s">
        <v>24</v>
      </c>
      <c r="AX34" s="12" t="s">
        <v>24</v>
      </c>
      <c r="AY34" s="12" t="s">
        <v>24</v>
      </c>
      <c r="AZ34" s="12" t="s">
        <v>24</v>
      </c>
      <c r="BA34" s="12" t="s">
        <v>24</v>
      </c>
      <c r="BB34" s="12" t="s">
        <v>24</v>
      </c>
      <c r="BC34" s="12" t="s">
        <v>24</v>
      </c>
      <c r="BD34" s="12" t="s">
        <v>24</v>
      </c>
      <c r="BE34" s="12" t="s">
        <v>24</v>
      </c>
      <c r="BF34" s="12" t="s">
        <v>24</v>
      </c>
      <c r="BG34" s="12" t="s">
        <v>24</v>
      </c>
      <c r="BH34" s="12" t="s">
        <v>24</v>
      </c>
      <c r="BI34" s="13" t="s">
        <v>24</v>
      </c>
      <c r="BJ34" s="12" t="s">
        <v>24</v>
      </c>
      <c r="BK34" s="12" t="s">
        <v>24</v>
      </c>
      <c r="BL34" s="12" t="s">
        <v>24</v>
      </c>
      <c r="BM34" s="17">
        <f t="shared" si="0"/>
        <v>0</v>
      </c>
      <c r="BN34" s="17" cm="1">
        <f t="array" ref="BN34">SUM(COUNTIF(D34:BL34,{"A";"AT"}))</f>
        <v>61</v>
      </c>
      <c r="BO34" s="17">
        <f t="shared" si="1"/>
        <v>0</v>
      </c>
      <c r="BP34" s="17">
        <f t="shared" si="2"/>
        <v>0</v>
      </c>
      <c r="BQ34" s="18">
        <f t="shared" si="3"/>
        <v>61</v>
      </c>
    </row>
    <row r="35" spans="1:81" ht="20.25" customHeight="1" thickBot="1" x14ac:dyDescent="0.25">
      <c r="A35" s="1">
        <v>25</v>
      </c>
      <c r="B35" s="94">
        <f>+'1ER TRIMESTRE'!B35</f>
        <v>0</v>
      </c>
      <c r="C35" s="95"/>
      <c r="D35" s="11" t="s">
        <v>24</v>
      </c>
      <c r="E35" s="12" t="s">
        <v>24</v>
      </c>
      <c r="F35" s="12" t="s">
        <v>24</v>
      </c>
      <c r="G35" s="12" t="s">
        <v>24</v>
      </c>
      <c r="H35" s="12" t="s">
        <v>24</v>
      </c>
      <c r="I35" s="12" t="s">
        <v>24</v>
      </c>
      <c r="J35" s="12" t="s">
        <v>24</v>
      </c>
      <c r="K35" s="12" t="s">
        <v>24</v>
      </c>
      <c r="L35" s="12" t="s">
        <v>24</v>
      </c>
      <c r="M35" s="12" t="s">
        <v>24</v>
      </c>
      <c r="N35" s="12" t="s">
        <v>24</v>
      </c>
      <c r="O35" s="12" t="s">
        <v>24</v>
      </c>
      <c r="P35" s="12" t="s">
        <v>24</v>
      </c>
      <c r="Q35" s="12" t="s">
        <v>24</v>
      </c>
      <c r="R35" s="13" t="s">
        <v>24</v>
      </c>
      <c r="S35" s="12" t="s">
        <v>24</v>
      </c>
      <c r="T35" s="12" t="s">
        <v>24</v>
      </c>
      <c r="U35" s="12" t="s">
        <v>24</v>
      </c>
      <c r="V35" s="12" t="s">
        <v>24</v>
      </c>
      <c r="W35" s="12" t="s">
        <v>24</v>
      </c>
      <c r="X35" s="12" t="s">
        <v>24</v>
      </c>
      <c r="Y35" s="12" t="s">
        <v>24</v>
      </c>
      <c r="Z35" s="12" t="s">
        <v>24</v>
      </c>
      <c r="AA35" s="12" t="s">
        <v>24</v>
      </c>
      <c r="AB35" s="12" t="s">
        <v>24</v>
      </c>
      <c r="AC35" s="12" t="s">
        <v>24</v>
      </c>
      <c r="AD35" s="12" t="s">
        <v>24</v>
      </c>
      <c r="AE35" s="12" t="s">
        <v>24</v>
      </c>
      <c r="AF35" s="12" t="s">
        <v>24</v>
      </c>
      <c r="AG35" s="12" t="s">
        <v>24</v>
      </c>
      <c r="AH35" s="12" t="s">
        <v>24</v>
      </c>
      <c r="AI35" s="12" t="s">
        <v>24</v>
      </c>
      <c r="AJ35" s="12" t="s">
        <v>24</v>
      </c>
      <c r="AK35" s="12" t="s">
        <v>24</v>
      </c>
      <c r="AL35" s="12" t="s">
        <v>24</v>
      </c>
      <c r="AM35" s="12" t="s">
        <v>24</v>
      </c>
      <c r="AN35" s="13" t="s">
        <v>24</v>
      </c>
      <c r="AO35" s="12" t="s">
        <v>24</v>
      </c>
      <c r="AP35" s="12" t="s">
        <v>24</v>
      </c>
      <c r="AQ35" s="12" t="s">
        <v>24</v>
      </c>
      <c r="AR35" s="12" t="s">
        <v>24</v>
      </c>
      <c r="AS35" s="12" t="s">
        <v>24</v>
      </c>
      <c r="AT35" s="12" t="s">
        <v>24</v>
      </c>
      <c r="AU35" s="12" t="s">
        <v>24</v>
      </c>
      <c r="AV35" s="12" t="s">
        <v>24</v>
      </c>
      <c r="AW35" s="12" t="s">
        <v>24</v>
      </c>
      <c r="AX35" s="12" t="s">
        <v>24</v>
      </c>
      <c r="AY35" s="12" t="s">
        <v>24</v>
      </c>
      <c r="AZ35" s="12" t="s">
        <v>24</v>
      </c>
      <c r="BA35" s="12" t="s">
        <v>24</v>
      </c>
      <c r="BB35" s="12" t="s">
        <v>24</v>
      </c>
      <c r="BC35" s="12" t="s">
        <v>24</v>
      </c>
      <c r="BD35" s="12" t="s">
        <v>24</v>
      </c>
      <c r="BE35" s="12" t="s">
        <v>24</v>
      </c>
      <c r="BF35" s="12" t="s">
        <v>24</v>
      </c>
      <c r="BG35" s="12" t="s">
        <v>24</v>
      </c>
      <c r="BH35" s="12" t="s">
        <v>24</v>
      </c>
      <c r="BI35" s="13" t="s">
        <v>24</v>
      </c>
      <c r="BJ35" s="12" t="s">
        <v>24</v>
      </c>
      <c r="BK35" s="12" t="s">
        <v>24</v>
      </c>
      <c r="BL35" s="12" t="s">
        <v>24</v>
      </c>
      <c r="BM35" s="17">
        <f t="shared" si="0"/>
        <v>0</v>
      </c>
      <c r="BN35" s="17" cm="1">
        <f t="array" ref="BN35">SUM(COUNTIF(D35:BL35,{"A";"AT"}))</f>
        <v>61</v>
      </c>
      <c r="BO35" s="17">
        <f t="shared" si="1"/>
        <v>0</v>
      </c>
      <c r="BP35" s="17">
        <f t="shared" si="2"/>
        <v>0</v>
      </c>
      <c r="BQ35" s="18">
        <f t="shared" si="3"/>
        <v>61</v>
      </c>
    </row>
    <row r="36" spans="1:81" ht="20.25" customHeight="1" thickBot="1" x14ac:dyDescent="0.25">
      <c r="A36" s="1">
        <v>26</v>
      </c>
      <c r="B36" s="94">
        <f>+'1ER TRIMESTRE'!B36</f>
        <v>0</v>
      </c>
      <c r="C36" s="95"/>
      <c r="D36" s="11" t="s">
        <v>24</v>
      </c>
      <c r="E36" s="12" t="s">
        <v>24</v>
      </c>
      <c r="F36" s="12" t="s">
        <v>24</v>
      </c>
      <c r="G36" s="12" t="s">
        <v>24</v>
      </c>
      <c r="H36" s="12" t="s">
        <v>24</v>
      </c>
      <c r="I36" s="12" t="s">
        <v>24</v>
      </c>
      <c r="J36" s="12" t="s">
        <v>24</v>
      </c>
      <c r="K36" s="12" t="s">
        <v>24</v>
      </c>
      <c r="L36" s="12" t="s">
        <v>24</v>
      </c>
      <c r="M36" s="12" t="s">
        <v>24</v>
      </c>
      <c r="N36" s="12" t="s">
        <v>24</v>
      </c>
      <c r="O36" s="12" t="s">
        <v>24</v>
      </c>
      <c r="P36" s="12" t="s">
        <v>24</v>
      </c>
      <c r="Q36" s="12" t="s">
        <v>24</v>
      </c>
      <c r="R36" s="13" t="s">
        <v>24</v>
      </c>
      <c r="S36" s="12" t="s">
        <v>24</v>
      </c>
      <c r="T36" s="12" t="s">
        <v>24</v>
      </c>
      <c r="U36" s="12" t="s">
        <v>24</v>
      </c>
      <c r="V36" s="12" t="s">
        <v>24</v>
      </c>
      <c r="W36" s="12" t="s">
        <v>24</v>
      </c>
      <c r="X36" s="12" t="s">
        <v>24</v>
      </c>
      <c r="Y36" s="12" t="s">
        <v>24</v>
      </c>
      <c r="Z36" s="12" t="s">
        <v>24</v>
      </c>
      <c r="AA36" s="12" t="s">
        <v>24</v>
      </c>
      <c r="AB36" s="12" t="s">
        <v>24</v>
      </c>
      <c r="AC36" s="12" t="s">
        <v>24</v>
      </c>
      <c r="AD36" s="12" t="s">
        <v>24</v>
      </c>
      <c r="AE36" s="12" t="s">
        <v>24</v>
      </c>
      <c r="AF36" s="12" t="s">
        <v>24</v>
      </c>
      <c r="AG36" s="12" t="s">
        <v>24</v>
      </c>
      <c r="AH36" s="12" t="s">
        <v>24</v>
      </c>
      <c r="AI36" s="12" t="s">
        <v>24</v>
      </c>
      <c r="AJ36" s="12" t="s">
        <v>24</v>
      </c>
      <c r="AK36" s="12" t="s">
        <v>24</v>
      </c>
      <c r="AL36" s="12" t="s">
        <v>24</v>
      </c>
      <c r="AM36" s="12" t="s">
        <v>24</v>
      </c>
      <c r="AN36" s="13" t="s">
        <v>24</v>
      </c>
      <c r="AO36" s="12" t="s">
        <v>24</v>
      </c>
      <c r="AP36" s="12" t="s">
        <v>24</v>
      </c>
      <c r="AQ36" s="12" t="s">
        <v>24</v>
      </c>
      <c r="AR36" s="12" t="s">
        <v>24</v>
      </c>
      <c r="AS36" s="12" t="s">
        <v>24</v>
      </c>
      <c r="AT36" s="12" t="s">
        <v>24</v>
      </c>
      <c r="AU36" s="12" t="s">
        <v>24</v>
      </c>
      <c r="AV36" s="12" t="s">
        <v>24</v>
      </c>
      <c r="AW36" s="12" t="s">
        <v>24</v>
      </c>
      <c r="AX36" s="12" t="s">
        <v>24</v>
      </c>
      <c r="AY36" s="12" t="s">
        <v>24</v>
      </c>
      <c r="AZ36" s="12" t="s">
        <v>24</v>
      </c>
      <c r="BA36" s="12" t="s">
        <v>24</v>
      </c>
      <c r="BB36" s="12" t="s">
        <v>24</v>
      </c>
      <c r="BC36" s="12" t="s">
        <v>24</v>
      </c>
      <c r="BD36" s="12" t="s">
        <v>24</v>
      </c>
      <c r="BE36" s="12" t="s">
        <v>24</v>
      </c>
      <c r="BF36" s="12" t="s">
        <v>24</v>
      </c>
      <c r="BG36" s="12" t="s">
        <v>24</v>
      </c>
      <c r="BH36" s="12" t="s">
        <v>24</v>
      </c>
      <c r="BI36" s="13" t="s">
        <v>24</v>
      </c>
      <c r="BJ36" s="12" t="s">
        <v>24</v>
      </c>
      <c r="BK36" s="12" t="s">
        <v>24</v>
      </c>
      <c r="BL36" s="12" t="s">
        <v>24</v>
      </c>
      <c r="BM36" s="17">
        <f t="shared" si="0"/>
        <v>0</v>
      </c>
      <c r="BN36" s="17" cm="1">
        <f t="array" ref="BN36">SUM(COUNTIF(D36:BL36,{"A";"AT"}))</f>
        <v>61</v>
      </c>
      <c r="BO36" s="17">
        <f t="shared" si="1"/>
        <v>0</v>
      </c>
      <c r="BP36" s="17">
        <f t="shared" si="2"/>
        <v>0</v>
      </c>
      <c r="BQ36" s="18">
        <f t="shared" si="3"/>
        <v>61</v>
      </c>
    </row>
    <row r="37" spans="1:81" ht="20.25" customHeight="1" thickBot="1" x14ac:dyDescent="0.25">
      <c r="A37" s="1">
        <v>27</v>
      </c>
      <c r="B37" s="94">
        <f>+'1ER TRIMESTRE'!B37</f>
        <v>0</v>
      </c>
      <c r="C37" s="95"/>
      <c r="D37" s="11" t="s">
        <v>24</v>
      </c>
      <c r="E37" s="12" t="s">
        <v>24</v>
      </c>
      <c r="F37" s="12" t="s">
        <v>24</v>
      </c>
      <c r="G37" s="12" t="s">
        <v>24</v>
      </c>
      <c r="H37" s="12" t="s">
        <v>24</v>
      </c>
      <c r="I37" s="12" t="s">
        <v>24</v>
      </c>
      <c r="J37" s="12" t="s">
        <v>24</v>
      </c>
      <c r="K37" s="12" t="s">
        <v>24</v>
      </c>
      <c r="L37" s="12" t="s">
        <v>24</v>
      </c>
      <c r="M37" s="12" t="s">
        <v>24</v>
      </c>
      <c r="N37" s="12" t="s">
        <v>24</v>
      </c>
      <c r="O37" s="12" t="s">
        <v>24</v>
      </c>
      <c r="P37" s="12" t="s">
        <v>24</v>
      </c>
      <c r="Q37" s="12" t="s">
        <v>24</v>
      </c>
      <c r="R37" s="13" t="s">
        <v>24</v>
      </c>
      <c r="S37" s="12" t="s">
        <v>24</v>
      </c>
      <c r="T37" s="12" t="s">
        <v>24</v>
      </c>
      <c r="U37" s="12" t="s">
        <v>24</v>
      </c>
      <c r="V37" s="12" t="s">
        <v>24</v>
      </c>
      <c r="W37" s="12" t="s">
        <v>24</v>
      </c>
      <c r="X37" s="12" t="s">
        <v>24</v>
      </c>
      <c r="Y37" s="12" t="s">
        <v>24</v>
      </c>
      <c r="Z37" s="12" t="s">
        <v>24</v>
      </c>
      <c r="AA37" s="12" t="s">
        <v>24</v>
      </c>
      <c r="AB37" s="12" t="s">
        <v>24</v>
      </c>
      <c r="AC37" s="12" t="s">
        <v>24</v>
      </c>
      <c r="AD37" s="12" t="s">
        <v>24</v>
      </c>
      <c r="AE37" s="12" t="s">
        <v>24</v>
      </c>
      <c r="AF37" s="12" t="s">
        <v>24</v>
      </c>
      <c r="AG37" s="12" t="s">
        <v>24</v>
      </c>
      <c r="AH37" s="12" t="s">
        <v>24</v>
      </c>
      <c r="AI37" s="12" t="s">
        <v>24</v>
      </c>
      <c r="AJ37" s="12" t="s">
        <v>24</v>
      </c>
      <c r="AK37" s="12" t="s">
        <v>24</v>
      </c>
      <c r="AL37" s="12" t="s">
        <v>24</v>
      </c>
      <c r="AM37" s="12" t="s">
        <v>24</v>
      </c>
      <c r="AN37" s="13" t="s">
        <v>24</v>
      </c>
      <c r="AO37" s="12" t="s">
        <v>24</v>
      </c>
      <c r="AP37" s="12" t="s">
        <v>24</v>
      </c>
      <c r="AQ37" s="12" t="s">
        <v>24</v>
      </c>
      <c r="AR37" s="12" t="s">
        <v>24</v>
      </c>
      <c r="AS37" s="12" t="s">
        <v>24</v>
      </c>
      <c r="AT37" s="12" t="s">
        <v>24</v>
      </c>
      <c r="AU37" s="12" t="s">
        <v>24</v>
      </c>
      <c r="AV37" s="12" t="s">
        <v>24</v>
      </c>
      <c r="AW37" s="12" t="s">
        <v>24</v>
      </c>
      <c r="AX37" s="12" t="s">
        <v>24</v>
      </c>
      <c r="AY37" s="12" t="s">
        <v>24</v>
      </c>
      <c r="AZ37" s="12" t="s">
        <v>24</v>
      </c>
      <c r="BA37" s="12" t="s">
        <v>24</v>
      </c>
      <c r="BB37" s="12" t="s">
        <v>24</v>
      </c>
      <c r="BC37" s="12" t="s">
        <v>24</v>
      </c>
      <c r="BD37" s="12" t="s">
        <v>24</v>
      </c>
      <c r="BE37" s="12" t="s">
        <v>24</v>
      </c>
      <c r="BF37" s="12" t="s">
        <v>24</v>
      </c>
      <c r="BG37" s="12" t="s">
        <v>24</v>
      </c>
      <c r="BH37" s="12" t="s">
        <v>24</v>
      </c>
      <c r="BI37" s="13" t="s">
        <v>24</v>
      </c>
      <c r="BJ37" s="12" t="s">
        <v>24</v>
      </c>
      <c r="BK37" s="12" t="s">
        <v>24</v>
      </c>
      <c r="BL37" s="12" t="s">
        <v>24</v>
      </c>
      <c r="BM37" s="17">
        <f t="shared" si="0"/>
        <v>0</v>
      </c>
      <c r="BN37" s="17" cm="1">
        <f t="array" ref="BN37">SUM(COUNTIF(D37:BL37,{"A";"AT"}))</f>
        <v>61</v>
      </c>
      <c r="BO37" s="17">
        <f t="shared" si="1"/>
        <v>0</v>
      </c>
      <c r="BP37" s="17">
        <f t="shared" si="2"/>
        <v>0</v>
      </c>
      <c r="BQ37" s="18">
        <f t="shared" si="3"/>
        <v>61</v>
      </c>
    </row>
    <row r="38" spans="1:81" ht="20.25" customHeight="1" thickBot="1" x14ac:dyDescent="0.25">
      <c r="A38" s="1">
        <v>28</v>
      </c>
      <c r="B38" s="94">
        <f>+'1ER TRIMESTRE'!B38</f>
        <v>0</v>
      </c>
      <c r="C38" s="95"/>
      <c r="D38" s="11" t="s">
        <v>24</v>
      </c>
      <c r="E38" s="12" t="s">
        <v>24</v>
      </c>
      <c r="F38" s="12" t="s">
        <v>24</v>
      </c>
      <c r="G38" s="12" t="s">
        <v>24</v>
      </c>
      <c r="H38" s="12" t="s">
        <v>24</v>
      </c>
      <c r="I38" s="12" t="s">
        <v>24</v>
      </c>
      <c r="J38" s="12" t="s">
        <v>24</v>
      </c>
      <c r="K38" s="12" t="s">
        <v>24</v>
      </c>
      <c r="L38" s="12" t="s">
        <v>24</v>
      </c>
      <c r="M38" s="12" t="s">
        <v>24</v>
      </c>
      <c r="N38" s="12" t="s">
        <v>24</v>
      </c>
      <c r="O38" s="12" t="s">
        <v>24</v>
      </c>
      <c r="P38" s="12" t="s">
        <v>24</v>
      </c>
      <c r="Q38" s="12" t="s">
        <v>24</v>
      </c>
      <c r="R38" s="13" t="s">
        <v>24</v>
      </c>
      <c r="S38" s="12" t="s">
        <v>24</v>
      </c>
      <c r="T38" s="12" t="s">
        <v>24</v>
      </c>
      <c r="U38" s="12" t="s">
        <v>24</v>
      </c>
      <c r="V38" s="12" t="s">
        <v>24</v>
      </c>
      <c r="W38" s="12" t="s">
        <v>24</v>
      </c>
      <c r="X38" s="12" t="s">
        <v>24</v>
      </c>
      <c r="Y38" s="12" t="s">
        <v>24</v>
      </c>
      <c r="Z38" s="12" t="s">
        <v>24</v>
      </c>
      <c r="AA38" s="12" t="s">
        <v>24</v>
      </c>
      <c r="AB38" s="12" t="s">
        <v>24</v>
      </c>
      <c r="AC38" s="12" t="s">
        <v>24</v>
      </c>
      <c r="AD38" s="12" t="s">
        <v>24</v>
      </c>
      <c r="AE38" s="12" t="s">
        <v>24</v>
      </c>
      <c r="AF38" s="12" t="s">
        <v>24</v>
      </c>
      <c r="AG38" s="12" t="s">
        <v>24</v>
      </c>
      <c r="AH38" s="12" t="s">
        <v>24</v>
      </c>
      <c r="AI38" s="12" t="s">
        <v>24</v>
      </c>
      <c r="AJ38" s="12" t="s">
        <v>24</v>
      </c>
      <c r="AK38" s="12" t="s">
        <v>24</v>
      </c>
      <c r="AL38" s="12" t="s">
        <v>24</v>
      </c>
      <c r="AM38" s="12" t="s">
        <v>24</v>
      </c>
      <c r="AN38" s="13" t="s">
        <v>24</v>
      </c>
      <c r="AO38" s="12" t="s">
        <v>24</v>
      </c>
      <c r="AP38" s="12" t="s">
        <v>24</v>
      </c>
      <c r="AQ38" s="12" t="s">
        <v>24</v>
      </c>
      <c r="AR38" s="12" t="s">
        <v>24</v>
      </c>
      <c r="AS38" s="12" t="s">
        <v>24</v>
      </c>
      <c r="AT38" s="12" t="s">
        <v>24</v>
      </c>
      <c r="AU38" s="12" t="s">
        <v>24</v>
      </c>
      <c r="AV38" s="12" t="s">
        <v>24</v>
      </c>
      <c r="AW38" s="12" t="s">
        <v>24</v>
      </c>
      <c r="AX38" s="12" t="s">
        <v>24</v>
      </c>
      <c r="AY38" s="12" t="s">
        <v>24</v>
      </c>
      <c r="AZ38" s="12" t="s">
        <v>24</v>
      </c>
      <c r="BA38" s="12" t="s">
        <v>24</v>
      </c>
      <c r="BB38" s="12" t="s">
        <v>24</v>
      </c>
      <c r="BC38" s="12" t="s">
        <v>24</v>
      </c>
      <c r="BD38" s="12" t="s">
        <v>24</v>
      </c>
      <c r="BE38" s="12" t="s">
        <v>24</v>
      </c>
      <c r="BF38" s="12" t="s">
        <v>24</v>
      </c>
      <c r="BG38" s="12" t="s">
        <v>24</v>
      </c>
      <c r="BH38" s="12" t="s">
        <v>24</v>
      </c>
      <c r="BI38" s="13" t="s">
        <v>24</v>
      </c>
      <c r="BJ38" s="12" t="s">
        <v>24</v>
      </c>
      <c r="BK38" s="12" t="s">
        <v>24</v>
      </c>
      <c r="BL38" s="12" t="s">
        <v>24</v>
      </c>
      <c r="BM38" s="17">
        <f t="shared" ref="BM38" si="4">COUNTIF(D38:BL38,"AT")</f>
        <v>0</v>
      </c>
      <c r="BN38" s="17" cm="1">
        <f t="array" ref="BN38">SUM(COUNTIF(D38:BL38,{"A";"AT"}))</f>
        <v>61</v>
      </c>
      <c r="BO38" s="17">
        <f t="shared" ref="BO38" si="5">COUNTIF(D38:BL38,"J")</f>
        <v>0</v>
      </c>
      <c r="BP38" s="17">
        <f t="shared" ref="BP38" si="6">COUNTIF(D38:BL38,"F")</f>
        <v>0</v>
      </c>
      <c r="BQ38" s="18">
        <f t="shared" ref="BQ38" si="7">SUM(BN38:BP38)</f>
        <v>61</v>
      </c>
    </row>
    <row r="39" spans="1:81" ht="20.25" customHeight="1" thickBot="1" x14ac:dyDescent="0.25">
      <c r="A39" s="1">
        <v>29</v>
      </c>
      <c r="B39" s="94">
        <f>+'1ER TRIMESTRE'!B39</f>
        <v>0</v>
      </c>
      <c r="C39" s="95"/>
      <c r="D39" s="11" t="s">
        <v>24</v>
      </c>
      <c r="E39" s="12" t="s">
        <v>24</v>
      </c>
      <c r="F39" s="12" t="s">
        <v>24</v>
      </c>
      <c r="G39" s="12" t="s">
        <v>24</v>
      </c>
      <c r="H39" s="12" t="s">
        <v>24</v>
      </c>
      <c r="I39" s="12" t="s">
        <v>24</v>
      </c>
      <c r="J39" s="12" t="s">
        <v>24</v>
      </c>
      <c r="K39" s="12" t="s">
        <v>24</v>
      </c>
      <c r="L39" s="12" t="s">
        <v>24</v>
      </c>
      <c r="M39" s="12" t="s">
        <v>24</v>
      </c>
      <c r="N39" s="12" t="s">
        <v>24</v>
      </c>
      <c r="O39" s="12" t="s">
        <v>24</v>
      </c>
      <c r="P39" s="12" t="s">
        <v>24</v>
      </c>
      <c r="Q39" s="12" t="s">
        <v>24</v>
      </c>
      <c r="R39" s="13" t="s">
        <v>24</v>
      </c>
      <c r="S39" s="12" t="s">
        <v>24</v>
      </c>
      <c r="T39" s="12" t="s">
        <v>24</v>
      </c>
      <c r="U39" s="12" t="s">
        <v>24</v>
      </c>
      <c r="V39" s="12" t="s">
        <v>24</v>
      </c>
      <c r="W39" s="12" t="s">
        <v>24</v>
      </c>
      <c r="X39" s="12" t="s">
        <v>24</v>
      </c>
      <c r="Y39" s="12" t="s">
        <v>24</v>
      </c>
      <c r="Z39" s="12" t="s">
        <v>24</v>
      </c>
      <c r="AA39" s="12" t="s">
        <v>24</v>
      </c>
      <c r="AB39" s="12" t="s">
        <v>24</v>
      </c>
      <c r="AC39" s="12" t="s">
        <v>24</v>
      </c>
      <c r="AD39" s="12" t="s">
        <v>24</v>
      </c>
      <c r="AE39" s="12" t="s">
        <v>24</v>
      </c>
      <c r="AF39" s="12" t="s">
        <v>24</v>
      </c>
      <c r="AG39" s="12" t="s">
        <v>24</v>
      </c>
      <c r="AH39" s="12" t="s">
        <v>24</v>
      </c>
      <c r="AI39" s="12" t="s">
        <v>24</v>
      </c>
      <c r="AJ39" s="12" t="s">
        <v>24</v>
      </c>
      <c r="AK39" s="12" t="s">
        <v>24</v>
      </c>
      <c r="AL39" s="12" t="s">
        <v>24</v>
      </c>
      <c r="AM39" s="12" t="s">
        <v>24</v>
      </c>
      <c r="AN39" s="13" t="s">
        <v>24</v>
      </c>
      <c r="AO39" s="12" t="s">
        <v>24</v>
      </c>
      <c r="AP39" s="12" t="s">
        <v>24</v>
      </c>
      <c r="AQ39" s="12" t="s">
        <v>24</v>
      </c>
      <c r="AR39" s="12" t="s">
        <v>24</v>
      </c>
      <c r="AS39" s="12" t="s">
        <v>24</v>
      </c>
      <c r="AT39" s="12" t="s">
        <v>24</v>
      </c>
      <c r="AU39" s="12" t="s">
        <v>24</v>
      </c>
      <c r="AV39" s="12" t="s">
        <v>24</v>
      </c>
      <c r="AW39" s="12" t="s">
        <v>24</v>
      </c>
      <c r="AX39" s="12" t="s">
        <v>24</v>
      </c>
      <c r="AY39" s="12" t="s">
        <v>24</v>
      </c>
      <c r="AZ39" s="12" t="s">
        <v>24</v>
      </c>
      <c r="BA39" s="12" t="s">
        <v>24</v>
      </c>
      <c r="BB39" s="12" t="s">
        <v>24</v>
      </c>
      <c r="BC39" s="12" t="s">
        <v>24</v>
      </c>
      <c r="BD39" s="12" t="s">
        <v>24</v>
      </c>
      <c r="BE39" s="12" t="s">
        <v>24</v>
      </c>
      <c r="BF39" s="12" t="s">
        <v>24</v>
      </c>
      <c r="BG39" s="12" t="s">
        <v>24</v>
      </c>
      <c r="BH39" s="12" t="s">
        <v>24</v>
      </c>
      <c r="BI39" s="13" t="s">
        <v>24</v>
      </c>
      <c r="BJ39" s="12" t="s">
        <v>24</v>
      </c>
      <c r="BK39" s="12" t="s">
        <v>24</v>
      </c>
      <c r="BL39" s="12" t="s">
        <v>24</v>
      </c>
      <c r="BM39" s="17">
        <f t="shared" si="0"/>
        <v>0</v>
      </c>
      <c r="BN39" s="17" cm="1">
        <f t="array" ref="BN39">SUM(COUNTIF(D39:BL39,{"A";"AT"}))</f>
        <v>61</v>
      </c>
      <c r="BO39" s="17">
        <f t="shared" si="1"/>
        <v>0</v>
      </c>
      <c r="BP39" s="17">
        <f t="shared" si="2"/>
        <v>0</v>
      </c>
      <c r="BQ39" s="18">
        <f t="shared" si="3"/>
        <v>61</v>
      </c>
    </row>
    <row r="40" spans="1:81" ht="20.25" customHeight="1" thickBot="1" x14ac:dyDescent="0.25">
      <c r="A40" s="1">
        <v>30</v>
      </c>
      <c r="B40" s="94">
        <f>+'1ER TRIMESTRE'!B40</f>
        <v>0</v>
      </c>
      <c r="C40" s="95"/>
      <c r="D40" s="14" t="s">
        <v>24</v>
      </c>
      <c r="E40" s="15" t="s">
        <v>24</v>
      </c>
      <c r="F40" s="15" t="s">
        <v>24</v>
      </c>
      <c r="G40" s="15" t="s">
        <v>24</v>
      </c>
      <c r="H40" s="15" t="s">
        <v>24</v>
      </c>
      <c r="I40" s="15" t="s">
        <v>24</v>
      </c>
      <c r="J40" s="15" t="s">
        <v>24</v>
      </c>
      <c r="K40" s="15" t="s">
        <v>24</v>
      </c>
      <c r="L40" s="15" t="s">
        <v>24</v>
      </c>
      <c r="M40" s="15" t="s">
        <v>24</v>
      </c>
      <c r="N40" s="15" t="s">
        <v>24</v>
      </c>
      <c r="O40" s="15" t="s">
        <v>24</v>
      </c>
      <c r="P40" s="15" t="s">
        <v>24</v>
      </c>
      <c r="Q40" s="15" t="s">
        <v>24</v>
      </c>
      <c r="R40" s="16" t="s">
        <v>24</v>
      </c>
      <c r="S40" s="15" t="s">
        <v>24</v>
      </c>
      <c r="T40" s="15" t="s">
        <v>24</v>
      </c>
      <c r="U40" s="15" t="s">
        <v>24</v>
      </c>
      <c r="V40" s="15" t="s">
        <v>24</v>
      </c>
      <c r="W40" s="15" t="s">
        <v>24</v>
      </c>
      <c r="X40" s="15" t="s">
        <v>24</v>
      </c>
      <c r="Y40" s="15" t="s">
        <v>24</v>
      </c>
      <c r="Z40" s="15" t="s">
        <v>24</v>
      </c>
      <c r="AA40" s="15" t="s">
        <v>24</v>
      </c>
      <c r="AB40" s="15" t="s">
        <v>24</v>
      </c>
      <c r="AC40" s="15" t="s">
        <v>24</v>
      </c>
      <c r="AD40" s="15" t="s">
        <v>24</v>
      </c>
      <c r="AE40" s="15" t="s">
        <v>24</v>
      </c>
      <c r="AF40" s="15" t="s">
        <v>24</v>
      </c>
      <c r="AG40" s="15" t="s">
        <v>24</v>
      </c>
      <c r="AH40" s="15" t="s">
        <v>24</v>
      </c>
      <c r="AI40" s="15" t="s">
        <v>24</v>
      </c>
      <c r="AJ40" s="15" t="s">
        <v>24</v>
      </c>
      <c r="AK40" s="15" t="s">
        <v>24</v>
      </c>
      <c r="AL40" s="15" t="s">
        <v>24</v>
      </c>
      <c r="AM40" s="15" t="s">
        <v>24</v>
      </c>
      <c r="AN40" s="16" t="s">
        <v>24</v>
      </c>
      <c r="AO40" s="15" t="s">
        <v>24</v>
      </c>
      <c r="AP40" s="15" t="s">
        <v>24</v>
      </c>
      <c r="AQ40" s="15" t="s">
        <v>24</v>
      </c>
      <c r="AR40" s="15" t="s">
        <v>24</v>
      </c>
      <c r="AS40" s="15" t="s">
        <v>24</v>
      </c>
      <c r="AT40" s="15" t="s">
        <v>24</v>
      </c>
      <c r="AU40" s="15" t="s">
        <v>24</v>
      </c>
      <c r="AV40" s="15" t="s">
        <v>24</v>
      </c>
      <c r="AW40" s="15" t="s">
        <v>24</v>
      </c>
      <c r="AX40" s="15" t="s">
        <v>24</v>
      </c>
      <c r="AY40" s="15" t="s">
        <v>24</v>
      </c>
      <c r="AZ40" s="15" t="s">
        <v>24</v>
      </c>
      <c r="BA40" s="15" t="s">
        <v>24</v>
      </c>
      <c r="BB40" s="15" t="s">
        <v>24</v>
      </c>
      <c r="BC40" s="15" t="s">
        <v>24</v>
      </c>
      <c r="BD40" s="15" t="s">
        <v>24</v>
      </c>
      <c r="BE40" s="15" t="s">
        <v>24</v>
      </c>
      <c r="BF40" s="15" t="s">
        <v>24</v>
      </c>
      <c r="BG40" s="15" t="s">
        <v>24</v>
      </c>
      <c r="BH40" s="15" t="s">
        <v>24</v>
      </c>
      <c r="BI40" s="16" t="s">
        <v>24</v>
      </c>
      <c r="BJ40" s="15" t="s">
        <v>24</v>
      </c>
      <c r="BK40" s="15" t="s">
        <v>24</v>
      </c>
      <c r="BL40" s="15" t="s">
        <v>24</v>
      </c>
      <c r="BM40" s="17">
        <f t="shared" si="0"/>
        <v>0</v>
      </c>
      <c r="BN40" s="17" cm="1">
        <f t="array" ref="BN40">SUM(COUNTIF(D40:BL40,{"A";"AT"}))</f>
        <v>61</v>
      </c>
      <c r="BO40" s="17">
        <f t="shared" si="1"/>
        <v>0</v>
      </c>
      <c r="BP40" s="17">
        <f t="shared" si="2"/>
        <v>0</v>
      </c>
      <c r="BQ40" s="18">
        <f t="shared" si="3"/>
        <v>61</v>
      </c>
    </row>
    <row r="41" spans="1:81" ht="20.25" customHeight="1" x14ac:dyDescent="0.2"/>
    <row r="42" spans="1:81" ht="15.75" customHeight="1" x14ac:dyDescent="0.2"/>
    <row r="43" spans="1:81" ht="15.75" customHeight="1" x14ac:dyDescent="0.2">
      <c r="A43" s="2"/>
      <c r="B43" s="2"/>
      <c r="C43" s="2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2"/>
      <c r="T43" s="2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F43" s="99"/>
      <c r="BG43" s="99"/>
      <c r="BH43" s="99"/>
      <c r="BI43" s="99"/>
      <c r="BJ43" s="99"/>
      <c r="BK43" s="99"/>
      <c r="BL43" s="99"/>
      <c r="BM43" s="99"/>
      <c r="BN43" s="99"/>
      <c r="BO43" s="99"/>
      <c r="BP43" s="99"/>
      <c r="BQ43" s="99"/>
      <c r="BX43" s="27"/>
      <c r="BY43" s="27"/>
      <c r="BZ43" s="27"/>
      <c r="CA43" s="28"/>
      <c r="CB43" s="28"/>
      <c r="CC43" s="28"/>
    </row>
    <row r="44" spans="1:81" s="31" customFormat="1" ht="15.75" customHeight="1" x14ac:dyDescent="0.2">
      <c r="D44" s="100" t="s">
        <v>55</v>
      </c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U44" s="100" t="s">
        <v>31</v>
      </c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M44" s="100" t="s">
        <v>31</v>
      </c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F44" s="101" t="s">
        <v>53</v>
      </c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X44" s="32"/>
      <c r="BY44" s="32"/>
      <c r="BZ44" s="32"/>
    </row>
    <row r="45" spans="1:81" s="29" customFormat="1" ht="15.75" customHeight="1" x14ac:dyDescent="0.2">
      <c r="D45" s="96" t="s">
        <v>29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U45" s="96" t="s">
        <v>41</v>
      </c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M45" s="96" t="s">
        <v>32</v>
      </c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F45" s="96" t="s">
        <v>33</v>
      </c>
      <c r="BG45" s="96"/>
      <c r="BH45" s="96"/>
      <c r="BI45" s="96"/>
      <c r="BJ45" s="96"/>
      <c r="BK45" s="96"/>
      <c r="BL45" s="96"/>
      <c r="BM45" s="96"/>
      <c r="BN45" s="96"/>
      <c r="BO45" s="96"/>
      <c r="BP45" s="96"/>
      <c r="BQ45" s="96"/>
      <c r="BX45" s="30"/>
      <c r="BY45" s="30"/>
      <c r="BZ45" s="30"/>
    </row>
    <row r="46" spans="1:81" ht="15.75" customHeight="1" x14ac:dyDescent="0.2"/>
    <row r="47" spans="1:81" ht="15.75" customHeight="1" x14ac:dyDescent="0.2"/>
    <row r="48" spans="1:8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</sheetData>
  <mergeCells count="68">
    <mergeCell ref="D43:R43"/>
    <mergeCell ref="U43:AI43"/>
    <mergeCell ref="D45:R45"/>
    <mergeCell ref="U45:AI45"/>
    <mergeCell ref="BQ6:BQ10"/>
    <mergeCell ref="BM6:BM10"/>
    <mergeCell ref="BN6:BN10"/>
    <mergeCell ref="BO6:BO10"/>
    <mergeCell ref="BP6:BP10"/>
    <mergeCell ref="AO9:BI9"/>
    <mergeCell ref="BJ9:BL9"/>
    <mergeCell ref="D44:R44"/>
    <mergeCell ref="U44:AI44"/>
    <mergeCell ref="BF44:BQ44"/>
    <mergeCell ref="BF45:BQ45"/>
    <mergeCell ref="AM43:BA43"/>
    <mergeCell ref="B35:C35"/>
    <mergeCell ref="B36:C36"/>
    <mergeCell ref="B37:C37"/>
    <mergeCell ref="B39:C39"/>
    <mergeCell ref="B40:C40"/>
    <mergeCell ref="B18:C18"/>
    <mergeCell ref="B19:C19"/>
    <mergeCell ref="B20:C20"/>
    <mergeCell ref="B21:C21"/>
    <mergeCell ref="B34:C34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13:C13"/>
    <mergeCell ref="B14:C14"/>
    <mergeCell ref="B15:C15"/>
    <mergeCell ref="B16:C16"/>
    <mergeCell ref="B17:C17"/>
    <mergeCell ref="A1:BQ1"/>
    <mergeCell ref="A2:BQ2"/>
    <mergeCell ref="A3:BQ3"/>
    <mergeCell ref="A4:BQ4"/>
    <mergeCell ref="A5:BQ5"/>
    <mergeCell ref="A6:C6"/>
    <mergeCell ref="D6:R6"/>
    <mergeCell ref="S6:AN6"/>
    <mergeCell ref="AO6:BI6"/>
    <mergeCell ref="BJ6:BL6"/>
    <mergeCell ref="AM44:BA44"/>
    <mergeCell ref="AM45:BA45"/>
    <mergeCell ref="BF43:BQ43"/>
    <mergeCell ref="B38:C38"/>
    <mergeCell ref="A7:C7"/>
    <mergeCell ref="D7:R8"/>
    <mergeCell ref="S7:AN8"/>
    <mergeCell ref="AO7:BI8"/>
    <mergeCell ref="BJ7:BL8"/>
    <mergeCell ref="A8:A10"/>
    <mergeCell ref="D9:R9"/>
    <mergeCell ref="S9:AN9"/>
    <mergeCell ref="B10:C10"/>
    <mergeCell ref="B22:C22"/>
    <mergeCell ref="B11:C11"/>
    <mergeCell ref="B12:C12"/>
  </mergeCells>
  <conditionalFormatting sqref="D11:BL40">
    <cfRule type="containsText" dxfId="18" priority="5" operator="containsText" text="F">
      <formula>NOT(ISERROR(SEARCH("F",D11)))</formula>
    </cfRule>
    <cfRule type="containsText" dxfId="17" priority="6" operator="containsText" text="AT">
      <formula>NOT(ISERROR(SEARCH("AT",D11)))</formula>
    </cfRule>
    <cfRule type="containsText" dxfId="16" priority="7" operator="containsText" text="A">
      <formula>NOT(ISERROR(SEARCH("A",D11)))</formula>
    </cfRule>
    <cfRule type="containsText" dxfId="15" priority="8" operator="containsText" text="J">
      <formula>NOT(ISERROR(SEARCH("J",D11)))</formula>
    </cfRule>
  </conditionalFormatting>
  <conditionalFormatting sqref="BM11:BM40">
    <cfRule type="cellIs" dxfId="14" priority="4" operator="between">
      <formula>1</formula>
      <formula>999999</formula>
    </cfRule>
  </conditionalFormatting>
  <conditionalFormatting sqref="BN11:BN40">
    <cfRule type="cellIs" dxfId="13" priority="3" operator="between">
      <formula>1</formula>
      <formula>99999</formula>
    </cfRule>
  </conditionalFormatting>
  <conditionalFormatting sqref="BO11:BO40">
    <cfRule type="cellIs" dxfId="12" priority="2" operator="between">
      <formula>1</formula>
      <formula>99999</formula>
    </cfRule>
  </conditionalFormatting>
  <conditionalFormatting sqref="BP11:BP40">
    <cfRule type="cellIs" dxfId="11" priority="1" operator="between">
      <formula>1</formula>
      <formula>99999</formula>
    </cfRule>
  </conditionalFormatting>
  <hyperlinks>
    <hyperlink ref="A3" r:id="rId1" xr:uid="{A70CE192-E59B-4670-B085-86C99F9527F4}"/>
    <hyperlink ref="A4" r:id="rId2" display="AÑO LECTIVO 2024-2025" xr:uid="{D5CA9F22-4529-450F-87B7-0AA27C77E82A}"/>
  </hyperlinks>
  <printOptions horizontalCentered="1" verticalCentered="1"/>
  <pageMargins left="0.70866141732283472" right="0.70866141732283472" top="0.74803149606299213" bottom="0.74803149606299213" header="0" footer="0"/>
  <pageSetup paperSize="9" scale="54" orientation="landscape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4138-B3AF-439F-8E95-C2179717A872}">
  <sheetPr>
    <tabColor theme="4" tint="0.59999389629810485"/>
    <pageSetUpPr fitToPage="1"/>
  </sheetPr>
  <dimension ref="A1:CE1001"/>
  <sheetViews>
    <sheetView zoomScaleNormal="100" workbookViewId="0">
      <selection activeCell="B15" sqref="B15:C15"/>
    </sheetView>
  </sheetViews>
  <sheetFormatPr baseColWidth="10" defaultColWidth="14.5" defaultRowHeight="15" customHeight="1" x14ac:dyDescent="0.2"/>
  <cols>
    <col min="1" max="1" width="4" customWidth="1"/>
    <col min="2" max="2" width="10.33203125" customWidth="1"/>
    <col min="3" max="3" width="33.5" customWidth="1"/>
    <col min="4" max="4" width="2.83203125" customWidth="1"/>
    <col min="5" max="23" width="2.6640625" customWidth="1"/>
    <col min="24" max="24" width="2.83203125" customWidth="1"/>
    <col min="25" max="26" width="2.6640625" customWidth="1"/>
    <col min="27" max="29" width="3" customWidth="1"/>
    <col min="30" max="31" width="2.83203125" customWidth="1"/>
    <col min="32" max="32" width="3.1640625" customWidth="1"/>
    <col min="33" max="34" width="3" customWidth="1"/>
    <col min="35" max="35" width="3.1640625" customWidth="1"/>
    <col min="36" max="57" width="2.83203125" customWidth="1"/>
    <col min="58" max="73" width="3.33203125" customWidth="1"/>
    <col min="74" max="74" width="4" customWidth="1"/>
    <col min="75" max="75" width="4.83203125" customWidth="1"/>
    <col min="76" max="77" width="4" customWidth="1"/>
    <col min="78" max="82" width="5.5" customWidth="1"/>
    <col min="83" max="83" width="8.5" customWidth="1"/>
  </cols>
  <sheetData>
    <row r="1" spans="1:83" ht="28" x14ac:dyDescent="0.2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8"/>
      <c r="CB1" s="8"/>
      <c r="CC1" s="8"/>
      <c r="CD1" s="8"/>
    </row>
    <row r="2" spans="1:83" x14ac:dyDescent="0.2">
      <c r="A2" s="45" t="s">
        <v>45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9"/>
      <c r="CB2" s="9"/>
      <c r="CC2" s="9"/>
      <c r="CD2" s="9"/>
    </row>
    <row r="3" spans="1:83" x14ac:dyDescent="0.2">
      <c r="A3" s="45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9"/>
      <c r="CB3" s="9"/>
      <c r="CC3" s="9"/>
      <c r="CD3" s="9"/>
    </row>
    <row r="4" spans="1:83" ht="17" thickBot="1" x14ac:dyDescent="0.25">
      <c r="A4" s="47" t="s">
        <v>34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10"/>
      <c r="CB4" s="10"/>
      <c r="CC4" s="10"/>
      <c r="CD4" s="10"/>
    </row>
    <row r="5" spans="1:83" ht="30.75" customHeight="1" thickBot="1" x14ac:dyDescent="0.25">
      <c r="A5" s="43" t="s">
        <v>43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107" t="s">
        <v>50</v>
      </c>
      <c r="CB5" s="108"/>
      <c r="CC5" s="108"/>
      <c r="CD5" s="108"/>
      <c r="CE5" s="109"/>
    </row>
    <row r="6" spans="1:83" ht="24" customHeight="1" thickBot="1" x14ac:dyDescent="0.35">
      <c r="A6" s="35" t="s">
        <v>23</v>
      </c>
      <c r="B6" s="36"/>
      <c r="C6" s="37"/>
      <c r="D6" s="38" t="s">
        <v>2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42"/>
      <c r="R6" s="39"/>
      <c r="S6" s="40"/>
      <c r="T6" s="41" t="s">
        <v>2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40"/>
      <c r="AL6" s="41" t="s">
        <v>2</v>
      </c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40"/>
      <c r="BF6" s="41" t="s">
        <v>2</v>
      </c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39"/>
      <c r="BV6" s="79" t="s">
        <v>28</v>
      </c>
      <c r="BW6" s="82" t="s">
        <v>25</v>
      </c>
      <c r="BX6" s="85" t="s">
        <v>26</v>
      </c>
      <c r="BY6" s="88" t="s">
        <v>27</v>
      </c>
      <c r="BZ6" s="91" t="s">
        <v>49</v>
      </c>
      <c r="CA6" s="79" t="s">
        <v>28</v>
      </c>
      <c r="CB6" s="82" t="s">
        <v>25</v>
      </c>
      <c r="CC6" s="85" t="s">
        <v>26</v>
      </c>
      <c r="CD6" s="88" t="s">
        <v>27</v>
      </c>
      <c r="CE6" s="91" t="s">
        <v>51</v>
      </c>
    </row>
    <row r="7" spans="1:83" ht="24" customHeight="1" thickBot="1" x14ac:dyDescent="0.25">
      <c r="A7" s="49">
        <f>+'1ER TRIMESTRE'!A7</f>
        <v>0</v>
      </c>
      <c r="B7" s="50"/>
      <c r="C7" s="51"/>
      <c r="D7" s="52" t="s">
        <v>18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9"/>
      <c r="R7" s="53"/>
      <c r="S7" s="54"/>
      <c r="T7" s="58" t="s">
        <v>19</v>
      </c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4"/>
      <c r="AL7" s="62" t="s">
        <v>39</v>
      </c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4"/>
      <c r="BF7" s="68" t="s">
        <v>40</v>
      </c>
      <c r="BG7" s="103"/>
      <c r="BH7" s="103"/>
      <c r="BI7" s="103"/>
      <c r="BJ7" s="103"/>
      <c r="BK7" s="103"/>
      <c r="BL7" s="103"/>
      <c r="BM7" s="103"/>
      <c r="BN7" s="103"/>
      <c r="BO7" s="103"/>
      <c r="BP7" s="103"/>
      <c r="BQ7" s="103"/>
      <c r="BR7" s="103"/>
      <c r="BS7" s="103"/>
      <c r="BT7" s="103"/>
      <c r="BU7" s="63"/>
      <c r="BV7" s="80"/>
      <c r="BW7" s="83"/>
      <c r="BX7" s="86"/>
      <c r="BY7" s="89"/>
      <c r="BZ7" s="92"/>
      <c r="CA7" s="80"/>
      <c r="CB7" s="83"/>
      <c r="CC7" s="86"/>
      <c r="CD7" s="89"/>
      <c r="CE7" s="110"/>
    </row>
    <row r="8" spans="1:83" ht="18.75" customHeight="1" thickBot="1" x14ac:dyDescent="0.25">
      <c r="A8" s="70" t="s">
        <v>7</v>
      </c>
      <c r="B8" s="3" t="s">
        <v>8</v>
      </c>
      <c r="C8" s="24" t="s">
        <v>9</v>
      </c>
      <c r="D8" s="55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61"/>
      <c r="R8" s="56"/>
      <c r="S8" s="57"/>
      <c r="T8" s="60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7"/>
      <c r="AL8" s="65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7"/>
      <c r="BF8" s="69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66"/>
      <c r="BV8" s="80"/>
      <c r="BW8" s="83"/>
      <c r="BX8" s="86"/>
      <c r="BY8" s="89"/>
      <c r="BZ8" s="92"/>
      <c r="CA8" s="80"/>
      <c r="CB8" s="83"/>
      <c r="CC8" s="86"/>
      <c r="CD8" s="89"/>
      <c r="CE8" s="110"/>
    </row>
    <row r="9" spans="1:83" ht="22.5" customHeight="1" thickBot="1" x14ac:dyDescent="0.25">
      <c r="A9" s="71"/>
      <c r="B9" s="25" t="str">
        <f>+'1ER TRIMESTRE'!B9</f>
        <v>MATUTINA</v>
      </c>
      <c r="C9" s="26">
        <f>+'1ER TRIMESTRE'!C9</f>
        <v>0</v>
      </c>
      <c r="D9" s="73" t="s">
        <v>38</v>
      </c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7"/>
      <c r="R9" s="74"/>
      <c r="S9" s="75"/>
      <c r="T9" s="76" t="s">
        <v>22</v>
      </c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5"/>
      <c r="AL9" s="73" t="s">
        <v>11</v>
      </c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5"/>
      <c r="BF9" s="76" t="s">
        <v>35</v>
      </c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5"/>
      <c r="BU9" s="74"/>
      <c r="BV9" s="80"/>
      <c r="BW9" s="83"/>
      <c r="BX9" s="86"/>
      <c r="BY9" s="89"/>
      <c r="BZ9" s="92"/>
      <c r="CA9" s="80"/>
      <c r="CB9" s="83"/>
      <c r="CC9" s="86"/>
      <c r="CD9" s="89"/>
      <c r="CE9" s="110"/>
    </row>
    <row r="10" spans="1:83" ht="21.75" customHeight="1" thickBot="1" x14ac:dyDescent="0.25">
      <c r="A10" s="72"/>
      <c r="B10" s="78" t="s">
        <v>13</v>
      </c>
      <c r="C10" s="37"/>
      <c r="D10" s="22">
        <v>9</v>
      </c>
      <c r="E10" s="4">
        <v>10</v>
      </c>
      <c r="F10" s="4">
        <v>11</v>
      </c>
      <c r="G10" s="4">
        <v>12</v>
      </c>
      <c r="H10" s="4">
        <v>13</v>
      </c>
      <c r="I10" s="4">
        <v>16</v>
      </c>
      <c r="J10" s="4">
        <v>17</v>
      </c>
      <c r="K10" s="4">
        <v>18</v>
      </c>
      <c r="L10" s="4">
        <v>19</v>
      </c>
      <c r="M10" s="4">
        <v>20</v>
      </c>
      <c r="N10" s="4">
        <v>23</v>
      </c>
      <c r="O10" s="4">
        <v>24</v>
      </c>
      <c r="P10" s="4">
        <v>25</v>
      </c>
      <c r="Q10" s="4">
        <v>26</v>
      </c>
      <c r="R10" s="4">
        <v>27</v>
      </c>
      <c r="S10" s="4">
        <v>30</v>
      </c>
      <c r="T10" s="22">
        <v>1</v>
      </c>
      <c r="U10" s="4">
        <v>2</v>
      </c>
      <c r="V10" s="4">
        <v>3</v>
      </c>
      <c r="W10" s="4">
        <v>4</v>
      </c>
      <c r="X10" s="4">
        <v>7</v>
      </c>
      <c r="Y10" s="4">
        <v>8</v>
      </c>
      <c r="Z10" s="4">
        <v>9</v>
      </c>
      <c r="AA10" s="4">
        <v>10</v>
      </c>
      <c r="AB10" s="4">
        <v>11</v>
      </c>
      <c r="AC10" s="4">
        <v>14</v>
      </c>
      <c r="AD10" s="4">
        <v>15</v>
      </c>
      <c r="AE10" s="4">
        <v>16</v>
      </c>
      <c r="AF10" s="4">
        <v>17</v>
      </c>
      <c r="AG10" s="4">
        <v>18</v>
      </c>
      <c r="AH10" s="4">
        <v>21</v>
      </c>
      <c r="AI10" s="4">
        <v>22</v>
      </c>
      <c r="AJ10" s="4">
        <v>23</v>
      </c>
      <c r="AK10" s="4">
        <v>24</v>
      </c>
      <c r="AL10" s="22">
        <v>4</v>
      </c>
      <c r="AM10" s="23">
        <v>5</v>
      </c>
      <c r="AN10" s="23">
        <v>6</v>
      </c>
      <c r="AO10" s="23">
        <v>7</v>
      </c>
      <c r="AP10" s="23">
        <v>8</v>
      </c>
      <c r="AQ10" s="23">
        <v>11</v>
      </c>
      <c r="AR10" s="23">
        <v>12</v>
      </c>
      <c r="AS10" s="23">
        <v>13</v>
      </c>
      <c r="AT10" s="23">
        <v>14</v>
      </c>
      <c r="AU10" s="23">
        <v>15</v>
      </c>
      <c r="AV10" s="23">
        <v>18</v>
      </c>
      <c r="AW10" s="23">
        <v>19</v>
      </c>
      <c r="AX10" s="23">
        <v>20</v>
      </c>
      <c r="AY10" s="23">
        <v>21</v>
      </c>
      <c r="AZ10" s="23">
        <v>22</v>
      </c>
      <c r="BA10" s="23">
        <v>25</v>
      </c>
      <c r="BB10" s="23">
        <v>26</v>
      </c>
      <c r="BC10" s="23">
        <v>27</v>
      </c>
      <c r="BD10" s="23">
        <v>28</v>
      </c>
      <c r="BE10" s="4">
        <v>29</v>
      </c>
      <c r="BF10" s="23">
        <v>1</v>
      </c>
      <c r="BG10" s="23">
        <v>2</v>
      </c>
      <c r="BH10" s="23">
        <v>3</v>
      </c>
      <c r="BI10" s="23">
        <v>4</v>
      </c>
      <c r="BJ10" s="23">
        <v>5</v>
      </c>
      <c r="BK10" s="23">
        <v>10</v>
      </c>
      <c r="BL10" s="23">
        <v>11</v>
      </c>
      <c r="BM10" s="23">
        <v>12</v>
      </c>
      <c r="BN10" s="23">
        <v>15</v>
      </c>
      <c r="BO10" s="23">
        <v>16</v>
      </c>
      <c r="BP10" s="23">
        <v>17</v>
      </c>
      <c r="BQ10" s="23">
        <v>18</v>
      </c>
      <c r="BR10" s="23">
        <v>19</v>
      </c>
      <c r="BS10" s="23">
        <v>22</v>
      </c>
      <c r="BT10" s="4">
        <v>23</v>
      </c>
      <c r="BU10" s="4">
        <v>24</v>
      </c>
      <c r="BV10" s="81"/>
      <c r="BW10" s="84"/>
      <c r="BX10" s="87"/>
      <c r="BY10" s="90"/>
      <c r="BZ10" s="93"/>
      <c r="CA10" s="81"/>
      <c r="CB10" s="84"/>
      <c r="CC10" s="87"/>
      <c r="CD10" s="90"/>
      <c r="CE10" s="111"/>
    </row>
    <row r="11" spans="1:83" ht="20.25" customHeight="1" thickBot="1" x14ac:dyDescent="0.25">
      <c r="A11" s="1">
        <v>1</v>
      </c>
      <c r="B11" s="94" t="str">
        <f>+'1ER TRIMESTRE'!B11</f>
        <v xml:space="preserve">AGUILAR ORELLANA  FREDDY JOEL </v>
      </c>
      <c r="C11" s="95"/>
      <c r="D11" s="11" t="s">
        <v>24</v>
      </c>
      <c r="E11" s="12" t="s">
        <v>24</v>
      </c>
      <c r="F11" s="12" t="s">
        <v>24</v>
      </c>
      <c r="G11" s="12" t="s">
        <v>24</v>
      </c>
      <c r="H11" s="12" t="s">
        <v>24</v>
      </c>
      <c r="I11" s="12" t="s">
        <v>24</v>
      </c>
      <c r="J11" s="12" t="s">
        <v>24</v>
      </c>
      <c r="K11" s="12" t="s">
        <v>24</v>
      </c>
      <c r="L11" s="12" t="s">
        <v>24</v>
      </c>
      <c r="M11" s="12" t="s">
        <v>24</v>
      </c>
      <c r="N11" s="12" t="s">
        <v>24</v>
      </c>
      <c r="O11" s="12" t="s">
        <v>24</v>
      </c>
      <c r="P11" s="12" t="s">
        <v>24</v>
      </c>
      <c r="Q11" s="12" t="s">
        <v>24</v>
      </c>
      <c r="R11" s="12" t="s">
        <v>24</v>
      </c>
      <c r="S11" s="13" t="s">
        <v>24</v>
      </c>
      <c r="T11" s="12" t="s">
        <v>24</v>
      </c>
      <c r="U11" s="12" t="s">
        <v>24</v>
      </c>
      <c r="V11" s="12" t="s">
        <v>24</v>
      </c>
      <c r="W11" s="12" t="s">
        <v>24</v>
      </c>
      <c r="X11" s="12" t="s">
        <v>24</v>
      </c>
      <c r="Y11" s="12" t="s">
        <v>24</v>
      </c>
      <c r="Z11" s="12" t="s">
        <v>24</v>
      </c>
      <c r="AA11" s="12" t="s">
        <v>24</v>
      </c>
      <c r="AB11" s="12" t="s">
        <v>24</v>
      </c>
      <c r="AC11" s="12" t="s">
        <v>24</v>
      </c>
      <c r="AD11" s="12" t="s">
        <v>24</v>
      </c>
      <c r="AE11" s="12" t="s">
        <v>24</v>
      </c>
      <c r="AF11" s="12" t="s">
        <v>24</v>
      </c>
      <c r="AG11" s="12" t="s">
        <v>24</v>
      </c>
      <c r="AH11" s="12" t="s">
        <v>24</v>
      </c>
      <c r="AI11" s="12" t="s">
        <v>24</v>
      </c>
      <c r="AJ11" s="12" t="s">
        <v>24</v>
      </c>
      <c r="AK11" s="13" t="s">
        <v>24</v>
      </c>
      <c r="AL11" s="12" t="s">
        <v>24</v>
      </c>
      <c r="AM11" s="12" t="s">
        <v>24</v>
      </c>
      <c r="AN11" s="12" t="s">
        <v>24</v>
      </c>
      <c r="AO11" s="12" t="s">
        <v>24</v>
      </c>
      <c r="AP11" s="12" t="s">
        <v>24</v>
      </c>
      <c r="AQ11" s="12" t="s">
        <v>24</v>
      </c>
      <c r="AR11" s="12" t="s">
        <v>24</v>
      </c>
      <c r="AS11" s="12" t="s">
        <v>24</v>
      </c>
      <c r="AT11" s="12" t="s">
        <v>24</v>
      </c>
      <c r="AU11" s="12" t="s">
        <v>24</v>
      </c>
      <c r="AV11" s="12" t="s">
        <v>24</v>
      </c>
      <c r="AW11" s="12" t="s">
        <v>24</v>
      </c>
      <c r="AX11" s="12" t="s">
        <v>24</v>
      </c>
      <c r="AY11" s="12" t="s">
        <v>24</v>
      </c>
      <c r="AZ11" s="12" t="s">
        <v>24</v>
      </c>
      <c r="BA11" s="12" t="s">
        <v>24</v>
      </c>
      <c r="BB11" s="12" t="s">
        <v>24</v>
      </c>
      <c r="BC11" s="12" t="s">
        <v>24</v>
      </c>
      <c r="BD11" s="12" t="s">
        <v>24</v>
      </c>
      <c r="BE11" s="13" t="s">
        <v>24</v>
      </c>
      <c r="BF11" s="12" t="s">
        <v>24</v>
      </c>
      <c r="BG11" s="12" t="s">
        <v>24</v>
      </c>
      <c r="BH11" s="12" t="s">
        <v>24</v>
      </c>
      <c r="BI11" s="12" t="s">
        <v>24</v>
      </c>
      <c r="BJ11" s="12" t="s">
        <v>24</v>
      </c>
      <c r="BK11" s="12" t="s">
        <v>24</v>
      </c>
      <c r="BL11" s="12" t="s">
        <v>24</v>
      </c>
      <c r="BM11" s="12" t="s">
        <v>24</v>
      </c>
      <c r="BN11" s="12" t="s">
        <v>24</v>
      </c>
      <c r="BO11" s="12" t="s">
        <v>24</v>
      </c>
      <c r="BP11" s="12" t="s">
        <v>24</v>
      </c>
      <c r="BQ11" s="12" t="s">
        <v>24</v>
      </c>
      <c r="BR11" s="12" t="s">
        <v>24</v>
      </c>
      <c r="BS11" s="12" t="s">
        <v>24</v>
      </c>
      <c r="BT11" s="12" t="s">
        <v>24</v>
      </c>
      <c r="BU11" s="12" t="s">
        <v>24</v>
      </c>
      <c r="BV11" s="17">
        <f>COUNTIF(D11:BU11,"AT")</f>
        <v>0</v>
      </c>
      <c r="BW11" s="17" cm="1">
        <f t="array" ref="BW11">SUM(COUNTIF(D11:BU11,{"A";"AT"}))</f>
        <v>70</v>
      </c>
      <c r="BX11" s="17">
        <f>COUNTIF(D11:BU11,"J")</f>
        <v>0</v>
      </c>
      <c r="BY11" s="17">
        <f>COUNTIF(D11:BU11,"F")</f>
        <v>0</v>
      </c>
      <c r="BZ11" s="18">
        <f>SUM(BW11:BY11)</f>
        <v>70</v>
      </c>
      <c r="CA11" s="33">
        <f>+BV11+'2DO TRIMESTRE'!BM11+'1ER TRIMESTRE'!BU11</f>
        <v>0</v>
      </c>
      <c r="CB11" s="18">
        <f>+BW11+'2DO TRIMESTRE'!BN11+'1ER TRIMESTRE'!BV11</f>
        <v>200</v>
      </c>
      <c r="CC11" s="33">
        <f>+BX11+'2DO TRIMESTRE'!BO11+'1ER TRIMESTRE'!BW11</f>
        <v>0</v>
      </c>
      <c r="CD11" s="33">
        <f>+BY11+'2DO TRIMESTRE'!BP11+'1ER TRIMESTRE'!BX11</f>
        <v>0</v>
      </c>
      <c r="CE11" s="18">
        <f>BZ11+'2DO TRIMESTRE'!BQ11+'1ER TRIMESTRE'!BY11</f>
        <v>200</v>
      </c>
    </row>
    <row r="12" spans="1:83" ht="20.25" customHeight="1" thickBot="1" x14ac:dyDescent="0.25">
      <c r="A12" s="1">
        <v>2</v>
      </c>
      <c r="B12" s="94">
        <f>+'1ER TRIMESTRE'!B12</f>
        <v>0</v>
      </c>
      <c r="C12" s="95"/>
      <c r="D12" s="11" t="s">
        <v>24</v>
      </c>
      <c r="E12" s="12" t="s">
        <v>24</v>
      </c>
      <c r="F12" s="12" t="s">
        <v>24</v>
      </c>
      <c r="G12" s="12" t="s">
        <v>24</v>
      </c>
      <c r="H12" s="12" t="s">
        <v>24</v>
      </c>
      <c r="I12" s="12" t="s">
        <v>24</v>
      </c>
      <c r="J12" s="12" t="s">
        <v>24</v>
      </c>
      <c r="K12" s="12" t="s">
        <v>24</v>
      </c>
      <c r="L12" s="12" t="s">
        <v>24</v>
      </c>
      <c r="M12" s="12" t="s">
        <v>24</v>
      </c>
      <c r="N12" s="12" t="s">
        <v>24</v>
      </c>
      <c r="O12" s="12" t="s">
        <v>24</v>
      </c>
      <c r="P12" s="12" t="s">
        <v>24</v>
      </c>
      <c r="Q12" s="12" t="s">
        <v>24</v>
      </c>
      <c r="R12" s="12" t="s">
        <v>24</v>
      </c>
      <c r="S12" s="13" t="s">
        <v>24</v>
      </c>
      <c r="T12" s="12" t="s">
        <v>24</v>
      </c>
      <c r="U12" s="12" t="s">
        <v>24</v>
      </c>
      <c r="V12" s="12" t="s">
        <v>24</v>
      </c>
      <c r="W12" s="12" t="s">
        <v>24</v>
      </c>
      <c r="X12" s="12" t="s">
        <v>24</v>
      </c>
      <c r="Y12" s="12" t="s">
        <v>24</v>
      </c>
      <c r="Z12" s="12" t="s">
        <v>24</v>
      </c>
      <c r="AA12" s="12" t="s">
        <v>24</v>
      </c>
      <c r="AB12" s="12" t="s">
        <v>24</v>
      </c>
      <c r="AC12" s="12" t="s">
        <v>24</v>
      </c>
      <c r="AD12" s="12" t="s">
        <v>24</v>
      </c>
      <c r="AE12" s="12" t="s">
        <v>24</v>
      </c>
      <c r="AF12" s="12" t="s">
        <v>24</v>
      </c>
      <c r="AG12" s="12" t="s">
        <v>24</v>
      </c>
      <c r="AH12" s="12" t="s">
        <v>24</v>
      </c>
      <c r="AI12" s="12" t="s">
        <v>24</v>
      </c>
      <c r="AJ12" s="12" t="s">
        <v>24</v>
      </c>
      <c r="AK12" s="13" t="s">
        <v>24</v>
      </c>
      <c r="AL12" s="12" t="s">
        <v>24</v>
      </c>
      <c r="AM12" s="12" t="s">
        <v>24</v>
      </c>
      <c r="AN12" s="12" t="s">
        <v>24</v>
      </c>
      <c r="AO12" s="12" t="s">
        <v>24</v>
      </c>
      <c r="AP12" s="12" t="s">
        <v>24</v>
      </c>
      <c r="AQ12" s="12" t="s">
        <v>24</v>
      </c>
      <c r="AR12" s="12" t="s">
        <v>24</v>
      </c>
      <c r="AS12" s="12" t="s">
        <v>24</v>
      </c>
      <c r="AT12" s="12" t="s">
        <v>24</v>
      </c>
      <c r="AU12" s="12" t="s">
        <v>24</v>
      </c>
      <c r="AV12" s="12" t="s">
        <v>24</v>
      </c>
      <c r="AW12" s="12" t="s">
        <v>24</v>
      </c>
      <c r="AX12" s="12" t="s">
        <v>24</v>
      </c>
      <c r="AY12" s="12" t="s">
        <v>24</v>
      </c>
      <c r="AZ12" s="12" t="s">
        <v>24</v>
      </c>
      <c r="BA12" s="12" t="s">
        <v>24</v>
      </c>
      <c r="BB12" s="12" t="s">
        <v>24</v>
      </c>
      <c r="BC12" s="12" t="s">
        <v>24</v>
      </c>
      <c r="BD12" s="12" t="s">
        <v>24</v>
      </c>
      <c r="BE12" s="13" t="s">
        <v>24</v>
      </c>
      <c r="BF12" s="12" t="s">
        <v>24</v>
      </c>
      <c r="BG12" s="12" t="s">
        <v>24</v>
      </c>
      <c r="BH12" s="12" t="s">
        <v>24</v>
      </c>
      <c r="BI12" s="12" t="s">
        <v>24</v>
      </c>
      <c r="BJ12" s="12" t="s">
        <v>24</v>
      </c>
      <c r="BK12" s="12" t="s">
        <v>24</v>
      </c>
      <c r="BL12" s="12" t="s">
        <v>24</v>
      </c>
      <c r="BM12" s="12" t="s">
        <v>24</v>
      </c>
      <c r="BN12" s="12" t="s">
        <v>24</v>
      </c>
      <c r="BO12" s="12" t="s">
        <v>24</v>
      </c>
      <c r="BP12" s="12" t="s">
        <v>24</v>
      </c>
      <c r="BQ12" s="12" t="s">
        <v>24</v>
      </c>
      <c r="BR12" s="12" t="s">
        <v>24</v>
      </c>
      <c r="BS12" s="12" t="s">
        <v>24</v>
      </c>
      <c r="BT12" s="12" t="s">
        <v>24</v>
      </c>
      <c r="BU12" s="12" t="s">
        <v>24</v>
      </c>
      <c r="BV12" s="17">
        <f t="shared" ref="BV12:BV40" si="0">COUNTIF(D12:BU12,"AT")</f>
        <v>0</v>
      </c>
      <c r="BW12" s="17" cm="1">
        <f t="array" ref="BW12">SUM(COUNTIF(D12:BU12,{"A";"AT"}))</f>
        <v>70</v>
      </c>
      <c r="BX12" s="17">
        <f t="shared" ref="BX12:BX40" si="1">COUNTIF(D12:BU12,"J")</f>
        <v>0</v>
      </c>
      <c r="BY12" s="17">
        <f t="shared" ref="BY12:BY40" si="2">COUNTIF(D12:BU12,"F")</f>
        <v>0</v>
      </c>
      <c r="BZ12" s="18">
        <f t="shared" ref="BZ12:BZ40" si="3">SUM(BW12:BY12)</f>
        <v>70</v>
      </c>
      <c r="CA12" s="33">
        <f>+BV12+'2DO TRIMESTRE'!BM12+'1ER TRIMESTRE'!BU12</f>
        <v>0</v>
      </c>
      <c r="CB12" s="18">
        <f>+BW12+'2DO TRIMESTRE'!BN12+'1ER TRIMESTRE'!BV12</f>
        <v>200</v>
      </c>
      <c r="CC12" s="33">
        <f>+BX12+'2DO TRIMESTRE'!BO12+'1ER TRIMESTRE'!BW12</f>
        <v>0</v>
      </c>
      <c r="CD12" s="33">
        <f>+BY12+'2DO TRIMESTRE'!BP12+'1ER TRIMESTRE'!BX12</f>
        <v>0</v>
      </c>
      <c r="CE12" s="18">
        <f>BZ12+'2DO TRIMESTRE'!BQ12+'1ER TRIMESTRE'!BY12</f>
        <v>200</v>
      </c>
    </row>
    <row r="13" spans="1:83" ht="20.25" customHeight="1" thickBot="1" x14ac:dyDescent="0.25">
      <c r="A13" s="1">
        <v>3</v>
      </c>
      <c r="B13" s="94">
        <f>+'1ER TRIMESTRE'!B13</f>
        <v>0</v>
      </c>
      <c r="C13" s="95"/>
      <c r="D13" s="11" t="s">
        <v>24</v>
      </c>
      <c r="E13" s="12" t="s">
        <v>24</v>
      </c>
      <c r="F13" s="12" t="s">
        <v>24</v>
      </c>
      <c r="G13" s="12" t="s">
        <v>24</v>
      </c>
      <c r="H13" s="12" t="s">
        <v>24</v>
      </c>
      <c r="I13" s="12" t="s">
        <v>24</v>
      </c>
      <c r="J13" s="12" t="s">
        <v>24</v>
      </c>
      <c r="K13" s="12" t="s">
        <v>24</v>
      </c>
      <c r="L13" s="12" t="s">
        <v>24</v>
      </c>
      <c r="M13" s="12" t="s">
        <v>24</v>
      </c>
      <c r="N13" s="12" t="s">
        <v>24</v>
      </c>
      <c r="O13" s="12" t="s">
        <v>24</v>
      </c>
      <c r="P13" s="12" t="s">
        <v>24</v>
      </c>
      <c r="Q13" s="12" t="s">
        <v>24</v>
      </c>
      <c r="R13" s="12" t="s">
        <v>24</v>
      </c>
      <c r="S13" s="13" t="s">
        <v>24</v>
      </c>
      <c r="T13" s="12" t="s">
        <v>24</v>
      </c>
      <c r="U13" s="12" t="s">
        <v>24</v>
      </c>
      <c r="V13" s="12" t="s">
        <v>24</v>
      </c>
      <c r="W13" s="12" t="s">
        <v>24</v>
      </c>
      <c r="X13" s="12" t="s">
        <v>24</v>
      </c>
      <c r="Y13" s="12" t="s">
        <v>24</v>
      </c>
      <c r="Z13" s="12" t="s">
        <v>24</v>
      </c>
      <c r="AA13" s="12" t="s">
        <v>24</v>
      </c>
      <c r="AB13" s="12" t="s">
        <v>24</v>
      </c>
      <c r="AC13" s="12" t="s">
        <v>24</v>
      </c>
      <c r="AD13" s="12" t="s">
        <v>24</v>
      </c>
      <c r="AE13" s="12" t="s">
        <v>24</v>
      </c>
      <c r="AF13" s="12" t="s">
        <v>24</v>
      </c>
      <c r="AG13" s="12" t="s">
        <v>24</v>
      </c>
      <c r="AH13" s="12" t="s">
        <v>24</v>
      </c>
      <c r="AI13" s="12" t="s">
        <v>24</v>
      </c>
      <c r="AJ13" s="12" t="s">
        <v>24</v>
      </c>
      <c r="AK13" s="13" t="s">
        <v>24</v>
      </c>
      <c r="AL13" s="12" t="s">
        <v>24</v>
      </c>
      <c r="AM13" s="12" t="s">
        <v>24</v>
      </c>
      <c r="AN13" s="12" t="s">
        <v>24</v>
      </c>
      <c r="AO13" s="12" t="s">
        <v>24</v>
      </c>
      <c r="AP13" s="12" t="s">
        <v>24</v>
      </c>
      <c r="AQ13" s="12" t="s">
        <v>24</v>
      </c>
      <c r="AR13" s="12" t="s">
        <v>24</v>
      </c>
      <c r="AS13" s="12" t="s">
        <v>24</v>
      </c>
      <c r="AT13" s="12" t="s">
        <v>24</v>
      </c>
      <c r="AU13" s="12" t="s">
        <v>24</v>
      </c>
      <c r="AV13" s="12" t="s">
        <v>24</v>
      </c>
      <c r="AW13" s="12" t="s">
        <v>24</v>
      </c>
      <c r="AX13" s="12" t="s">
        <v>24</v>
      </c>
      <c r="AY13" s="12" t="s">
        <v>24</v>
      </c>
      <c r="AZ13" s="12" t="s">
        <v>24</v>
      </c>
      <c r="BA13" s="12" t="s">
        <v>24</v>
      </c>
      <c r="BB13" s="12" t="s">
        <v>24</v>
      </c>
      <c r="BC13" s="12" t="s">
        <v>24</v>
      </c>
      <c r="BD13" s="12" t="s">
        <v>24</v>
      </c>
      <c r="BE13" s="13" t="s">
        <v>24</v>
      </c>
      <c r="BF13" s="12" t="s">
        <v>24</v>
      </c>
      <c r="BG13" s="12" t="s">
        <v>24</v>
      </c>
      <c r="BH13" s="12" t="s">
        <v>24</v>
      </c>
      <c r="BI13" s="12" t="s">
        <v>24</v>
      </c>
      <c r="BJ13" s="12" t="s">
        <v>24</v>
      </c>
      <c r="BK13" s="12" t="s">
        <v>24</v>
      </c>
      <c r="BL13" s="12" t="s">
        <v>24</v>
      </c>
      <c r="BM13" s="12" t="s">
        <v>24</v>
      </c>
      <c r="BN13" s="12" t="s">
        <v>24</v>
      </c>
      <c r="BO13" s="12" t="s">
        <v>24</v>
      </c>
      <c r="BP13" s="12" t="s">
        <v>24</v>
      </c>
      <c r="BQ13" s="12" t="s">
        <v>24</v>
      </c>
      <c r="BR13" s="12" t="s">
        <v>24</v>
      </c>
      <c r="BS13" s="12" t="s">
        <v>24</v>
      </c>
      <c r="BT13" s="12" t="s">
        <v>24</v>
      </c>
      <c r="BU13" s="12" t="s">
        <v>24</v>
      </c>
      <c r="BV13" s="17">
        <f t="shared" si="0"/>
        <v>0</v>
      </c>
      <c r="BW13" s="17" cm="1">
        <f t="array" ref="BW13">SUM(COUNTIF(D13:BU13,{"A";"AT"}))</f>
        <v>70</v>
      </c>
      <c r="BX13" s="17">
        <f t="shared" si="1"/>
        <v>0</v>
      </c>
      <c r="BY13" s="17">
        <f t="shared" si="2"/>
        <v>0</v>
      </c>
      <c r="BZ13" s="18">
        <f t="shared" si="3"/>
        <v>70</v>
      </c>
      <c r="CA13" s="33">
        <f>+BV13+'2DO TRIMESTRE'!BM13+'1ER TRIMESTRE'!BU13</f>
        <v>0</v>
      </c>
      <c r="CB13" s="18">
        <f>+BW13+'2DO TRIMESTRE'!BN13+'1ER TRIMESTRE'!BV13</f>
        <v>200</v>
      </c>
      <c r="CC13" s="33">
        <f>+BX13+'2DO TRIMESTRE'!BO13+'1ER TRIMESTRE'!BW13</f>
        <v>0</v>
      </c>
      <c r="CD13" s="33">
        <f>+BY13+'2DO TRIMESTRE'!BP13+'1ER TRIMESTRE'!BX13</f>
        <v>0</v>
      </c>
      <c r="CE13" s="18">
        <f>BZ13+'2DO TRIMESTRE'!BQ13+'1ER TRIMESTRE'!BY13</f>
        <v>200</v>
      </c>
    </row>
    <row r="14" spans="1:83" ht="20.25" customHeight="1" thickBot="1" x14ac:dyDescent="0.25">
      <c r="A14" s="1">
        <v>4</v>
      </c>
      <c r="B14" s="94">
        <f>+'1ER TRIMESTRE'!B14</f>
        <v>0</v>
      </c>
      <c r="C14" s="95"/>
      <c r="D14" s="11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  <c r="J14" s="12" t="s">
        <v>24</v>
      </c>
      <c r="K14" s="12" t="s">
        <v>24</v>
      </c>
      <c r="L14" s="12" t="s">
        <v>24</v>
      </c>
      <c r="M14" s="12" t="s">
        <v>24</v>
      </c>
      <c r="N14" s="12" t="s">
        <v>24</v>
      </c>
      <c r="O14" s="12" t="s">
        <v>24</v>
      </c>
      <c r="P14" s="12" t="s">
        <v>24</v>
      </c>
      <c r="Q14" s="12" t="s">
        <v>24</v>
      </c>
      <c r="R14" s="12" t="s">
        <v>24</v>
      </c>
      <c r="S14" s="13" t="s">
        <v>24</v>
      </c>
      <c r="T14" s="12" t="s">
        <v>24</v>
      </c>
      <c r="U14" s="12" t="s">
        <v>24</v>
      </c>
      <c r="V14" s="12" t="s">
        <v>24</v>
      </c>
      <c r="W14" s="12" t="s">
        <v>24</v>
      </c>
      <c r="X14" s="12" t="s">
        <v>24</v>
      </c>
      <c r="Y14" s="12" t="s">
        <v>24</v>
      </c>
      <c r="Z14" s="12" t="s">
        <v>24</v>
      </c>
      <c r="AA14" s="12" t="s">
        <v>24</v>
      </c>
      <c r="AB14" s="12" t="s">
        <v>24</v>
      </c>
      <c r="AC14" s="12" t="s">
        <v>24</v>
      </c>
      <c r="AD14" s="12" t="s">
        <v>24</v>
      </c>
      <c r="AE14" s="12" t="s">
        <v>24</v>
      </c>
      <c r="AF14" s="12" t="s">
        <v>24</v>
      </c>
      <c r="AG14" s="12" t="s">
        <v>24</v>
      </c>
      <c r="AH14" s="12" t="s">
        <v>24</v>
      </c>
      <c r="AI14" s="12" t="s">
        <v>24</v>
      </c>
      <c r="AJ14" s="12" t="s">
        <v>24</v>
      </c>
      <c r="AK14" s="13" t="s">
        <v>24</v>
      </c>
      <c r="AL14" s="12" t="s">
        <v>24</v>
      </c>
      <c r="AM14" s="12" t="s">
        <v>24</v>
      </c>
      <c r="AN14" s="12" t="s">
        <v>24</v>
      </c>
      <c r="AO14" s="12" t="s">
        <v>24</v>
      </c>
      <c r="AP14" s="12" t="s">
        <v>24</v>
      </c>
      <c r="AQ14" s="12" t="s">
        <v>24</v>
      </c>
      <c r="AR14" s="12" t="s">
        <v>24</v>
      </c>
      <c r="AS14" s="12" t="s">
        <v>24</v>
      </c>
      <c r="AT14" s="12" t="s">
        <v>24</v>
      </c>
      <c r="AU14" s="12" t="s">
        <v>24</v>
      </c>
      <c r="AV14" s="12" t="s">
        <v>24</v>
      </c>
      <c r="AW14" s="12" t="s">
        <v>24</v>
      </c>
      <c r="AX14" s="12" t="s">
        <v>24</v>
      </c>
      <c r="AY14" s="12" t="s">
        <v>24</v>
      </c>
      <c r="AZ14" s="12" t="s">
        <v>24</v>
      </c>
      <c r="BA14" s="12" t="s">
        <v>24</v>
      </c>
      <c r="BB14" s="12" t="s">
        <v>24</v>
      </c>
      <c r="BC14" s="12" t="s">
        <v>24</v>
      </c>
      <c r="BD14" s="12" t="s">
        <v>24</v>
      </c>
      <c r="BE14" s="13" t="s">
        <v>24</v>
      </c>
      <c r="BF14" s="12" t="s">
        <v>24</v>
      </c>
      <c r="BG14" s="12" t="s">
        <v>24</v>
      </c>
      <c r="BH14" s="12" t="s">
        <v>24</v>
      </c>
      <c r="BI14" s="12" t="s">
        <v>24</v>
      </c>
      <c r="BJ14" s="12" t="s">
        <v>24</v>
      </c>
      <c r="BK14" s="12" t="s">
        <v>24</v>
      </c>
      <c r="BL14" s="12" t="s">
        <v>24</v>
      </c>
      <c r="BM14" s="12" t="s">
        <v>24</v>
      </c>
      <c r="BN14" s="12" t="s">
        <v>24</v>
      </c>
      <c r="BO14" s="12" t="s">
        <v>24</v>
      </c>
      <c r="BP14" s="12" t="s">
        <v>24</v>
      </c>
      <c r="BQ14" s="12" t="s">
        <v>24</v>
      </c>
      <c r="BR14" s="12" t="s">
        <v>24</v>
      </c>
      <c r="BS14" s="12" t="s">
        <v>24</v>
      </c>
      <c r="BT14" s="12" t="s">
        <v>24</v>
      </c>
      <c r="BU14" s="12" t="s">
        <v>24</v>
      </c>
      <c r="BV14" s="17">
        <f t="shared" si="0"/>
        <v>0</v>
      </c>
      <c r="BW14" s="17" cm="1">
        <f t="array" ref="BW14">SUM(COUNTIF(D14:BU14,{"A";"AT"}))</f>
        <v>70</v>
      </c>
      <c r="BX14" s="17">
        <f t="shared" si="1"/>
        <v>0</v>
      </c>
      <c r="BY14" s="17">
        <f t="shared" si="2"/>
        <v>0</v>
      </c>
      <c r="BZ14" s="18">
        <f t="shared" si="3"/>
        <v>70</v>
      </c>
      <c r="CA14" s="33">
        <f>+BV14+'2DO TRIMESTRE'!BM14+'1ER TRIMESTRE'!BU14</f>
        <v>0</v>
      </c>
      <c r="CB14" s="18">
        <f>+BW14+'2DO TRIMESTRE'!BN14+'1ER TRIMESTRE'!BV14</f>
        <v>200</v>
      </c>
      <c r="CC14" s="33">
        <f>+BX14+'2DO TRIMESTRE'!BO14+'1ER TRIMESTRE'!BW14</f>
        <v>0</v>
      </c>
      <c r="CD14" s="33">
        <f>+BY14+'2DO TRIMESTRE'!BP14+'1ER TRIMESTRE'!BX14</f>
        <v>0</v>
      </c>
      <c r="CE14" s="18">
        <f>BZ14+'2DO TRIMESTRE'!BQ14+'1ER TRIMESTRE'!BY14</f>
        <v>200</v>
      </c>
    </row>
    <row r="15" spans="1:83" ht="20.25" customHeight="1" thickBot="1" x14ac:dyDescent="0.25">
      <c r="A15" s="1">
        <v>5</v>
      </c>
      <c r="B15" s="94">
        <f>+'1ER TRIMESTRE'!B15</f>
        <v>0</v>
      </c>
      <c r="C15" s="95"/>
      <c r="D15" s="11" t="s">
        <v>24</v>
      </c>
      <c r="E15" s="12" t="s">
        <v>24</v>
      </c>
      <c r="F15" s="12" t="s">
        <v>24</v>
      </c>
      <c r="G15" s="12" t="s">
        <v>24</v>
      </c>
      <c r="H15" s="12" t="s">
        <v>24</v>
      </c>
      <c r="I15" s="12" t="s">
        <v>24</v>
      </c>
      <c r="J15" s="12" t="s">
        <v>24</v>
      </c>
      <c r="K15" s="12" t="s">
        <v>24</v>
      </c>
      <c r="L15" s="12" t="s">
        <v>24</v>
      </c>
      <c r="M15" s="12" t="s">
        <v>24</v>
      </c>
      <c r="N15" s="12" t="s">
        <v>24</v>
      </c>
      <c r="O15" s="12" t="s">
        <v>24</v>
      </c>
      <c r="P15" s="12" t="s">
        <v>24</v>
      </c>
      <c r="Q15" s="12" t="s">
        <v>24</v>
      </c>
      <c r="R15" s="12" t="s">
        <v>24</v>
      </c>
      <c r="S15" s="13" t="s">
        <v>24</v>
      </c>
      <c r="T15" s="12" t="s">
        <v>24</v>
      </c>
      <c r="U15" s="12" t="s">
        <v>24</v>
      </c>
      <c r="V15" s="12" t="s">
        <v>24</v>
      </c>
      <c r="W15" s="12" t="s">
        <v>24</v>
      </c>
      <c r="X15" s="12" t="s">
        <v>24</v>
      </c>
      <c r="Y15" s="12" t="s">
        <v>24</v>
      </c>
      <c r="Z15" s="12" t="s">
        <v>24</v>
      </c>
      <c r="AA15" s="12" t="s">
        <v>24</v>
      </c>
      <c r="AB15" s="12" t="s">
        <v>24</v>
      </c>
      <c r="AC15" s="12" t="s">
        <v>24</v>
      </c>
      <c r="AD15" s="12" t="s">
        <v>24</v>
      </c>
      <c r="AE15" s="12" t="s">
        <v>24</v>
      </c>
      <c r="AF15" s="12" t="s">
        <v>24</v>
      </c>
      <c r="AG15" s="12" t="s">
        <v>24</v>
      </c>
      <c r="AH15" s="12" t="s">
        <v>24</v>
      </c>
      <c r="AI15" s="12" t="s">
        <v>24</v>
      </c>
      <c r="AJ15" s="12" t="s">
        <v>24</v>
      </c>
      <c r="AK15" s="13" t="s">
        <v>24</v>
      </c>
      <c r="AL15" s="12" t="s">
        <v>24</v>
      </c>
      <c r="AM15" s="12" t="s">
        <v>24</v>
      </c>
      <c r="AN15" s="12" t="s">
        <v>24</v>
      </c>
      <c r="AO15" s="12" t="s">
        <v>24</v>
      </c>
      <c r="AP15" s="12" t="s">
        <v>24</v>
      </c>
      <c r="AQ15" s="12" t="s">
        <v>24</v>
      </c>
      <c r="AR15" s="12" t="s">
        <v>24</v>
      </c>
      <c r="AS15" s="12" t="s">
        <v>24</v>
      </c>
      <c r="AT15" s="12" t="s">
        <v>24</v>
      </c>
      <c r="AU15" s="12" t="s">
        <v>24</v>
      </c>
      <c r="AV15" s="12" t="s">
        <v>24</v>
      </c>
      <c r="AW15" s="12" t="s">
        <v>24</v>
      </c>
      <c r="AX15" s="12" t="s">
        <v>24</v>
      </c>
      <c r="AY15" s="12" t="s">
        <v>24</v>
      </c>
      <c r="AZ15" s="12" t="s">
        <v>24</v>
      </c>
      <c r="BA15" s="12" t="s">
        <v>24</v>
      </c>
      <c r="BB15" s="12" t="s">
        <v>24</v>
      </c>
      <c r="BC15" s="12" t="s">
        <v>24</v>
      </c>
      <c r="BD15" s="12" t="s">
        <v>24</v>
      </c>
      <c r="BE15" s="13" t="s">
        <v>24</v>
      </c>
      <c r="BF15" s="12" t="s">
        <v>24</v>
      </c>
      <c r="BG15" s="12" t="s">
        <v>24</v>
      </c>
      <c r="BH15" s="12" t="s">
        <v>24</v>
      </c>
      <c r="BI15" s="12" t="s">
        <v>24</v>
      </c>
      <c r="BJ15" s="12" t="s">
        <v>24</v>
      </c>
      <c r="BK15" s="12" t="s">
        <v>24</v>
      </c>
      <c r="BL15" s="12" t="s">
        <v>24</v>
      </c>
      <c r="BM15" s="12" t="s">
        <v>24</v>
      </c>
      <c r="BN15" s="12" t="s">
        <v>24</v>
      </c>
      <c r="BO15" s="12" t="s">
        <v>24</v>
      </c>
      <c r="BP15" s="12" t="s">
        <v>24</v>
      </c>
      <c r="BQ15" s="12" t="s">
        <v>24</v>
      </c>
      <c r="BR15" s="12" t="s">
        <v>24</v>
      </c>
      <c r="BS15" s="12" t="s">
        <v>24</v>
      </c>
      <c r="BT15" s="12" t="s">
        <v>24</v>
      </c>
      <c r="BU15" s="12" t="s">
        <v>24</v>
      </c>
      <c r="BV15" s="17">
        <f t="shared" si="0"/>
        <v>0</v>
      </c>
      <c r="BW15" s="17" cm="1">
        <f t="array" ref="BW15">SUM(COUNTIF(D15:BU15,{"A";"AT"}))</f>
        <v>70</v>
      </c>
      <c r="BX15" s="17">
        <f t="shared" si="1"/>
        <v>0</v>
      </c>
      <c r="BY15" s="17">
        <f t="shared" si="2"/>
        <v>0</v>
      </c>
      <c r="BZ15" s="18">
        <f t="shared" si="3"/>
        <v>70</v>
      </c>
      <c r="CA15" s="33">
        <f>+BV15+'2DO TRIMESTRE'!BM15+'1ER TRIMESTRE'!BU15</f>
        <v>0</v>
      </c>
      <c r="CB15" s="18">
        <f>+BW15+'2DO TRIMESTRE'!BN15+'1ER TRIMESTRE'!BV15</f>
        <v>200</v>
      </c>
      <c r="CC15" s="33">
        <f>+BX15+'2DO TRIMESTRE'!BO15+'1ER TRIMESTRE'!BW15</f>
        <v>0</v>
      </c>
      <c r="CD15" s="33">
        <f>+BY15+'2DO TRIMESTRE'!BP15+'1ER TRIMESTRE'!BX15</f>
        <v>0</v>
      </c>
      <c r="CE15" s="18">
        <f>BZ15+'2DO TRIMESTRE'!BQ15+'1ER TRIMESTRE'!BY15</f>
        <v>200</v>
      </c>
    </row>
    <row r="16" spans="1:83" ht="20.25" customHeight="1" thickBot="1" x14ac:dyDescent="0.25">
      <c r="A16" s="1">
        <v>6</v>
      </c>
      <c r="B16" s="94">
        <f>+'1ER TRIMESTRE'!B16</f>
        <v>0</v>
      </c>
      <c r="C16" s="95"/>
      <c r="D16" s="11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  <c r="J16" s="12" t="s">
        <v>24</v>
      </c>
      <c r="K16" s="12" t="s">
        <v>24</v>
      </c>
      <c r="L16" s="12" t="s">
        <v>24</v>
      </c>
      <c r="M16" s="12" t="s">
        <v>24</v>
      </c>
      <c r="N16" s="12" t="s">
        <v>24</v>
      </c>
      <c r="O16" s="12" t="s">
        <v>24</v>
      </c>
      <c r="P16" s="12" t="s">
        <v>24</v>
      </c>
      <c r="Q16" s="12" t="s">
        <v>24</v>
      </c>
      <c r="R16" s="12" t="s">
        <v>24</v>
      </c>
      <c r="S16" s="13" t="s">
        <v>24</v>
      </c>
      <c r="T16" s="12" t="s">
        <v>24</v>
      </c>
      <c r="U16" s="12" t="s">
        <v>24</v>
      </c>
      <c r="V16" s="12" t="s">
        <v>24</v>
      </c>
      <c r="W16" s="12" t="s">
        <v>24</v>
      </c>
      <c r="X16" s="12" t="s">
        <v>24</v>
      </c>
      <c r="Y16" s="12" t="s">
        <v>24</v>
      </c>
      <c r="Z16" s="12" t="s">
        <v>24</v>
      </c>
      <c r="AA16" s="12" t="s">
        <v>24</v>
      </c>
      <c r="AB16" s="12" t="s">
        <v>24</v>
      </c>
      <c r="AC16" s="12" t="s">
        <v>24</v>
      </c>
      <c r="AD16" s="12" t="s">
        <v>24</v>
      </c>
      <c r="AE16" s="12" t="s">
        <v>24</v>
      </c>
      <c r="AF16" s="12" t="s">
        <v>24</v>
      </c>
      <c r="AG16" s="12" t="s">
        <v>24</v>
      </c>
      <c r="AH16" s="12" t="s">
        <v>24</v>
      </c>
      <c r="AI16" s="12" t="s">
        <v>24</v>
      </c>
      <c r="AJ16" s="12" t="s">
        <v>24</v>
      </c>
      <c r="AK16" s="13" t="s">
        <v>24</v>
      </c>
      <c r="AL16" s="12" t="s">
        <v>24</v>
      </c>
      <c r="AM16" s="12" t="s">
        <v>24</v>
      </c>
      <c r="AN16" s="12" t="s">
        <v>24</v>
      </c>
      <c r="AO16" s="12" t="s">
        <v>24</v>
      </c>
      <c r="AP16" s="12" t="s">
        <v>24</v>
      </c>
      <c r="AQ16" s="12" t="s">
        <v>24</v>
      </c>
      <c r="AR16" s="12" t="s">
        <v>24</v>
      </c>
      <c r="AS16" s="12" t="s">
        <v>24</v>
      </c>
      <c r="AT16" s="12" t="s">
        <v>24</v>
      </c>
      <c r="AU16" s="12" t="s">
        <v>24</v>
      </c>
      <c r="AV16" s="12" t="s">
        <v>24</v>
      </c>
      <c r="AW16" s="12" t="s">
        <v>24</v>
      </c>
      <c r="AX16" s="12" t="s">
        <v>24</v>
      </c>
      <c r="AY16" s="12" t="s">
        <v>24</v>
      </c>
      <c r="AZ16" s="12" t="s">
        <v>24</v>
      </c>
      <c r="BA16" s="12" t="s">
        <v>24</v>
      </c>
      <c r="BB16" s="12" t="s">
        <v>24</v>
      </c>
      <c r="BC16" s="12" t="s">
        <v>24</v>
      </c>
      <c r="BD16" s="12" t="s">
        <v>24</v>
      </c>
      <c r="BE16" s="13" t="s">
        <v>24</v>
      </c>
      <c r="BF16" s="12" t="s">
        <v>24</v>
      </c>
      <c r="BG16" s="12" t="s">
        <v>24</v>
      </c>
      <c r="BH16" s="12" t="s">
        <v>24</v>
      </c>
      <c r="BI16" s="12" t="s">
        <v>24</v>
      </c>
      <c r="BJ16" s="12" t="s">
        <v>24</v>
      </c>
      <c r="BK16" s="12" t="s">
        <v>24</v>
      </c>
      <c r="BL16" s="12" t="s">
        <v>24</v>
      </c>
      <c r="BM16" s="12" t="s">
        <v>24</v>
      </c>
      <c r="BN16" s="12" t="s">
        <v>24</v>
      </c>
      <c r="BO16" s="12" t="s">
        <v>24</v>
      </c>
      <c r="BP16" s="12" t="s">
        <v>24</v>
      </c>
      <c r="BQ16" s="12" t="s">
        <v>24</v>
      </c>
      <c r="BR16" s="12" t="s">
        <v>24</v>
      </c>
      <c r="BS16" s="12" t="s">
        <v>24</v>
      </c>
      <c r="BT16" s="12" t="s">
        <v>24</v>
      </c>
      <c r="BU16" s="12" t="s">
        <v>24</v>
      </c>
      <c r="BV16" s="17">
        <f t="shared" si="0"/>
        <v>0</v>
      </c>
      <c r="BW16" s="17" cm="1">
        <f t="array" ref="BW16">SUM(COUNTIF(D16:BU16,{"A";"AT"}))</f>
        <v>70</v>
      </c>
      <c r="BX16" s="17">
        <f t="shared" si="1"/>
        <v>0</v>
      </c>
      <c r="BY16" s="17">
        <f t="shared" si="2"/>
        <v>0</v>
      </c>
      <c r="BZ16" s="18">
        <f t="shared" si="3"/>
        <v>70</v>
      </c>
      <c r="CA16" s="33">
        <f>+BV16+'2DO TRIMESTRE'!BM16+'1ER TRIMESTRE'!BU16</f>
        <v>0</v>
      </c>
      <c r="CB16" s="18">
        <f>+BW16+'2DO TRIMESTRE'!BN16+'1ER TRIMESTRE'!BV16</f>
        <v>200</v>
      </c>
      <c r="CC16" s="33">
        <f>+BX16+'2DO TRIMESTRE'!BO16+'1ER TRIMESTRE'!BW16</f>
        <v>0</v>
      </c>
      <c r="CD16" s="33">
        <f>+BY16+'2DO TRIMESTRE'!BP16+'1ER TRIMESTRE'!BX16</f>
        <v>0</v>
      </c>
      <c r="CE16" s="18">
        <f>BZ16+'2DO TRIMESTRE'!BQ16+'1ER TRIMESTRE'!BY16</f>
        <v>200</v>
      </c>
    </row>
    <row r="17" spans="1:83" ht="20.25" customHeight="1" thickBot="1" x14ac:dyDescent="0.25">
      <c r="A17" s="1">
        <v>7</v>
      </c>
      <c r="B17" s="94">
        <f>+'1ER TRIMESTRE'!B17</f>
        <v>0</v>
      </c>
      <c r="C17" s="95"/>
      <c r="D17" s="11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  <c r="J17" s="12" t="s">
        <v>24</v>
      </c>
      <c r="K17" s="12" t="s">
        <v>24</v>
      </c>
      <c r="L17" s="12" t="s">
        <v>24</v>
      </c>
      <c r="M17" s="12" t="s">
        <v>24</v>
      </c>
      <c r="N17" s="12" t="s">
        <v>24</v>
      </c>
      <c r="O17" s="12" t="s">
        <v>24</v>
      </c>
      <c r="P17" s="12" t="s">
        <v>24</v>
      </c>
      <c r="Q17" s="12" t="s">
        <v>24</v>
      </c>
      <c r="R17" s="12" t="s">
        <v>24</v>
      </c>
      <c r="S17" s="13" t="s">
        <v>24</v>
      </c>
      <c r="T17" s="12" t="s">
        <v>24</v>
      </c>
      <c r="U17" s="12" t="s">
        <v>24</v>
      </c>
      <c r="V17" s="12" t="s">
        <v>24</v>
      </c>
      <c r="W17" s="12" t="s">
        <v>24</v>
      </c>
      <c r="X17" s="12" t="s">
        <v>24</v>
      </c>
      <c r="Y17" s="12" t="s">
        <v>24</v>
      </c>
      <c r="Z17" s="12" t="s">
        <v>24</v>
      </c>
      <c r="AA17" s="12" t="s">
        <v>24</v>
      </c>
      <c r="AB17" s="12" t="s">
        <v>24</v>
      </c>
      <c r="AC17" s="12" t="s">
        <v>24</v>
      </c>
      <c r="AD17" s="12" t="s">
        <v>24</v>
      </c>
      <c r="AE17" s="12" t="s">
        <v>24</v>
      </c>
      <c r="AF17" s="12" t="s">
        <v>24</v>
      </c>
      <c r="AG17" s="12" t="s">
        <v>24</v>
      </c>
      <c r="AH17" s="12" t="s">
        <v>24</v>
      </c>
      <c r="AI17" s="12" t="s">
        <v>24</v>
      </c>
      <c r="AJ17" s="12" t="s">
        <v>24</v>
      </c>
      <c r="AK17" s="13" t="s">
        <v>24</v>
      </c>
      <c r="AL17" s="12" t="s">
        <v>24</v>
      </c>
      <c r="AM17" s="12" t="s">
        <v>24</v>
      </c>
      <c r="AN17" s="12" t="s">
        <v>24</v>
      </c>
      <c r="AO17" s="12" t="s">
        <v>24</v>
      </c>
      <c r="AP17" s="12" t="s">
        <v>24</v>
      </c>
      <c r="AQ17" s="12" t="s">
        <v>24</v>
      </c>
      <c r="AR17" s="12" t="s">
        <v>24</v>
      </c>
      <c r="AS17" s="12" t="s">
        <v>24</v>
      </c>
      <c r="AT17" s="12" t="s">
        <v>24</v>
      </c>
      <c r="AU17" s="12" t="s">
        <v>24</v>
      </c>
      <c r="AV17" s="12" t="s">
        <v>24</v>
      </c>
      <c r="AW17" s="12" t="s">
        <v>24</v>
      </c>
      <c r="AX17" s="12" t="s">
        <v>24</v>
      </c>
      <c r="AY17" s="12" t="s">
        <v>24</v>
      </c>
      <c r="AZ17" s="12" t="s">
        <v>24</v>
      </c>
      <c r="BA17" s="12" t="s">
        <v>24</v>
      </c>
      <c r="BB17" s="12" t="s">
        <v>24</v>
      </c>
      <c r="BC17" s="12" t="s">
        <v>24</v>
      </c>
      <c r="BD17" s="12" t="s">
        <v>24</v>
      </c>
      <c r="BE17" s="13" t="s">
        <v>24</v>
      </c>
      <c r="BF17" s="12" t="s">
        <v>24</v>
      </c>
      <c r="BG17" s="12" t="s">
        <v>24</v>
      </c>
      <c r="BH17" s="12" t="s">
        <v>24</v>
      </c>
      <c r="BI17" s="12" t="s">
        <v>24</v>
      </c>
      <c r="BJ17" s="12" t="s">
        <v>24</v>
      </c>
      <c r="BK17" s="12" t="s">
        <v>24</v>
      </c>
      <c r="BL17" s="12" t="s">
        <v>24</v>
      </c>
      <c r="BM17" s="12" t="s">
        <v>24</v>
      </c>
      <c r="BN17" s="12" t="s">
        <v>24</v>
      </c>
      <c r="BO17" s="12" t="s">
        <v>24</v>
      </c>
      <c r="BP17" s="12" t="s">
        <v>24</v>
      </c>
      <c r="BQ17" s="12" t="s">
        <v>24</v>
      </c>
      <c r="BR17" s="12" t="s">
        <v>24</v>
      </c>
      <c r="BS17" s="12" t="s">
        <v>24</v>
      </c>
      <c r="BT17" s="12" t="s">
        <v>24</v>
      </c>
      <c r="BU17" s="12" t="s">
        <v>24</v>
      </c>
      <c r="BV17" s="17">
        <f t="shared" si="0"/>
        <v>0</v>
      </c>
      <c r="BW17" s="17" cm="1">
        <f t="array" ref="BW17">SUM(COUNTIF(D17:BU17,{"A";"AT"}))</f>
        <v>70</v>
      </c>
      <c r="BX17" s="17">
        <f t="shared" si="1"/>
        <v>0</v>
      </c>
      <c r="BY17" s="17">
        <f t="shared" si="2"/>
        <v>0</v>
      </c>
      <c r="BZ17" s="18">
        <f t="shared" si="3"/>
        <v>70</v>
      </c>
      <c r="CA17" s="33">
        <f>+BV17+'2DO TRIMESTRE'!BM17+'1ER TRIMESTRE'!BU17</f>
        <v>0</v>
      </c>
      <c r="CB17" s="18">
        <f>+BW17+'2DO TRIMESTRE'!BN17+'1ER TRIMESTRE'!BV17</f>
        <v>200</v>
      </c>
      <c r="CC17" s="33">
        <f>+BX17+'2DO TRIMESTRE'!BO17+'1ER TRIMESTRE'!BW17</f>
        <v>0</v>
      </c>
      <c r="CD17" s="33">
        <f>+BY17+'2DO TRIMESTRE'!BP17+'1ER TRIMESTRE'!BX17</f>
        <v>0</v>
      </c>
      <c r="CE17" s="18">
        <f>BZ17+'2DO TRIMESTRE'!BQ17+'1ER TRIMESTRE'!BY17</f>
        <v>200</v>
      </c>
    </row>
    <row r="18" spans="1:83" ht="20.25" customHeight="1" thickBot="1" x14ac:dyDescent="0.25">
      <c r="A18" s="1">
        <v>8</v>
      </c>
      <c r="B18" s="94">
        <f>+'1ER TRIMESTRE'!B18</f>
        <v>0</v>
      </c>
      <c r="C18" s="95"/>
      <c r="D18" s="11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  <c r="J18" s="12" t="s">
        <v>24</v>
      </c>
      <c r="K18" s="12" t="s">
        <v>24</v>
      </c>
      <c r="L18" s="12" t="s">
        <v>24</v>
      </c>
      <c r="M18" s="12" t="s">
        <v>24</v>
      </c>
      <c r="N18" s="12" t="s">
        <v>24</v>
      </c>
      <c r="O18" s="12" t="s">
        <v>24</v>
      </c>
      <c r="P18" s="12" t="s">
        <v>24</v>
      </c>
      <c r="Q18" s="12" t="s">
        <v>24</v>
      </c>
      <c r="R18" s="12" t="s">
        <v>24</v>
      </c>
      <c r="S18" s="13" t="s">
        <v>24</v>
      </c>
      <c r="T18" s="12" t="s">
        <v>24</v>
      </c>
      <c r="U18" s="12" t="s">
        <v>24</v>
      </c>
      <c r="V18" s="12" t="s">
        <v>24</v>
      </c>
      <c r="W18" s="12" t="s">
        <v>24</v>
      </c>
      <c r="X18" s="12" t="s">
        <v>24</v>
      </c>
      <c r="Y18" s="12" t="s">
        <v>24</v>
      </c>
      <c r="Z18" s="12" t="s">
        <v>24</v>
      </c>
      <c r="AA18" s="12" t="s">
        <v>24</v>
      </c>
      <c r="AB18" s="12" t="s">
        <v>24</v>
      </c>
      <c r="AC18" s="12" t="s">
        <v>24</v>
      </c>
      <c r="AD18" s="12" t="s">
        <v>24</v>
      </c>
      <c r="AE18" s="12" t="s">
        <v>24</v>
      </c>
      <c r="AF18" s="12" t="s">
        <v>24</v>
      </c>
      <c r="AG18" s="12" t="s">
        <v>24</v>
      </c>
      <c r="AH18" s="12" t="s">
        <v>24</v>
      </c>
      <c r="AI18" s="12" t="s">
        <v>24</v>
      </c>
      <c r="AJ18" s="12" t="s">
        <v>24</v>
      </c>
      <c r="AK18" s="13" t="s">
        <v>24</v>
      </c>
      <c r="AL18" s="12" t="s">
        <v>24</v>
      </c>
      <c r="AM18" s="12" t="s">
        <v>24</v>
      </c>
      <c r="AN18" s="12" t="s">
        <v>24</v>
      </c>
      <c r="AO18" s="12" t="s">
        <v>24</v>
      </c>
      <c r="AP18" s="12" t="s">
        <v>24</v>
      </c>
      <c r="AQ18" s="12" t="s">
        <v>24</v>
      </c>
      <c r="AR18" s="12" t="s">
        <v>24</v>
      </c>
      <c r="AS18" s="12" t="s">
        <v>24</v>
      </c>
      <c r="AT18" s="12" t="s">
        <v>24</v>
      </c>
      <c r="AU18" s="12" t="s">
        <v>24</v>
      </c>
      <c r="AV18" s="12" t="s">
        <v>24</v>
      </c>
      <c r="AW18" s="12" t="s">
        <v>24</v>
      </c>
      <c r="AX18" s="12" t="s">
        <v>24</v>
      </c>
      <c r="AY18" s="12" t="s">
        <v>24</v>
      </c>
      <c r="AZ18" s="12" t="s">
        <v>24</v>
      </c>
      <c r="BA18" s="12" t="s">
        <v>24</v>
      </c>
      <c r="BB18" s="12" t="s">
        <v>24</v>
      </c>
      <c r="BC18" s="12" t="s">
        <v>24</v>
      </c>
      <c r="BD18" s="12" t="s">
        <v>24</v>
      </c>
      <c r="BE18" s="13" t="s">
        <v>24</v>
      </c>
      <c r="BF18" s="12" t="s">
        <v>24</v>
      </c>
      <c r="BG18" s="12" t="s">
        <v>24</v>
      </c>
      <c r="BH18" s="12" t="s">
        <v>24</v>
      </c>
      <c r="BI18" s="12" t="s">
        <v>24</v>
      </c>
      <c r="BJ18" s="12" t="s">
        <v>24</v>
      </c>
      <c r="BK18" s="12" t="s">
        <v>24</v>
      </c>
      <c r="BL18" s="12" t="s">
        <v>24</v>
      </c>
      <c r="BM18" s="12" t="s">
        <v>24</v>
      </c>
      <c r="BN18" s="12" t="s">
        <v>24</v>
      </c>
      <c r="BO18" s="12" t="s">
        <v>24</v>
      </c>
      <c r="BP18" s="12" t="s">
        <v>24</v>
      </c>
      <c r="BQ18" s="12" t="s">
        <v>24</v>
      </c>
      <c r="BR18" s="12" t="s">
        <v>24</v>
      </c>
      <c r="BS18" s="12" t="s">
        <v>24</v>
      </c>
      <c r="BT18" s="12" t="s">
        <v>24</v>
      </c>
      <c r="BU18" s="12" t="s">
        <v>24</v>
      </c>
      <c r="BV18" s="17">
        <f t="shared" si="0"/>
        <v>0</v>
      </c>
      <c r="BW18" s="17" cm="1">
        <f t="array" ref="BW18">SUM(COUNTIF(D18:BU18,{"A";"AT"}))</f>
        <v>70</v>
      </c>
      <c r="BX18" s="17">
        <f t="shared" si="1"/>
        <v>0</v>
      </c>
      <c r="BY18" s="17">
        <f t="shared" si="2"/>
        <v>0</v>
      </c>
      <c r="BZ18" s="18">
        <f t="shared" si="3"/>
        <v>70</v>
      </c>
      <c r="CA18" s="33">
        <f>+BV18+'2DO TRIMESTRE'!BM18+'1ER TRIMESTRE'!BU18</f>
        <v>0</v>
      </c>
      <c r="CB18" s="18">
        <f>+BW18+'2DO TRIMESTRE'!BN18+'1ER TRIMESTRE'!BV18</f>
        <v>200</v>
      </c>
      <c r="CC18" s="33">
        <f>+BX18+'2DO TRIMESTRE'!BO18+'1ER TRIMESTRE'!BW18</f>
        <v>0</v>
      </c>
      <c r="CD18" s="33">
        <f>+BY18+'2DO TRIMESTRE'!BP18+'1ER TRIMESTRE'!BX18</f>
        <v>0</v>
      </c>
      <c r="CE18" s="18">
        <f>BZ18+'2DO TRIMESTRE'!BQ18+'1ER TRIMESTRE'!BY18</f>
        <v>200</v>
      </c>
    </row>
    <row r="19" spans="1:83" ht="20.25" customHeight="1" thickBot="1" x14ac:dyDescent="0.25">
      <c r="A19" s="1">
        <v>9</v>
      </c>
      <c r="B19" s="94">
        <f>+'1ER TRIMESTRE'!B19</f>
        <v>0</v>
      </c>
      <c r="C19" s="95"/>
      <c r="D19" s="11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  <c r="J19" s="12" t="s">
        <v>24</v>
      </c>
      <c r="K19" s="12" t="s">
        <v>24</v>
      </c>
      <c r="L19" s="12" t="s">
        <v>24</v>
      </c>
      <c r="M19" s="12" t="s">
        <v>24</v>
      </c>
      <c r="N19" s="12" t="s">
        <v>24</v>
      </c>
      <c r="O19" s="12" t="s">
        <v>24</v>
      </c>
      <c r="P19" s="12" t="s">
        <v>24</v>
      </c>
      <c r="Q19" s="12" t="s">
        <v>24</v>
      </c>
      <c r="R19" s="12" t="s">
        <v>24</v>
      </c>
      <c r="S19" s="13" t="s">
        <v>24</v>
      </c>
      <c r="T19" s="12" t="s">
        <v>24</v>
      </c>
      <c r="U19" s="12" t="s">
        <v>24</v>
      </c>
      <c r="V19" s="12" t="s">
        <v>24</v>
      </c>
      <c r="W19" s="12" t="s">
        <v>24</v>
      </c>
      <c r="X19" s="12" t="s">
        <v>24</v>
      </c>
      <c r="Y19" s="12" t="s">
        <v>24</v>
      </c>
      <c r="Z19" s="12" t="s">
        <v>24</v>
      </c>
      <c r="AA19" s="12" t="s">
        <v>24</v>
      </c>
      <c r="AB19" s="12" t="s">
        <v>24</v>
      </c>
      <c r="AC19" s="12" t="s">
        <v>24</v>
      </c>
      <c r="AD19" s="12" t="s">
        <v>24</v>
      </c>
      <c r="AE19" s="12" t="s">
        <v>24</v>
      </c>
      <c r="AF19" s="12" t="s">
        <v>24</v>
      </c>
      <c r="AG19" s="12" t="s">
        <v>24</v>
      </c>
      <c r="AH19" s="12" t="s">
        <v>24</v>
      </c>
      <c r="AI19" s="12" t="s">
        <v>24</v>
      </c>
      <c r="AJ19" s="12" t="s">
        <v>24</v>
      </c>
      <c r="AK19" s="13" t="s">
        <v>24</v>
      </c>
      <c r="AL19" s="12" t="s">
        <v>24</v>
      </c>
      <c r="AM19" s="12" t="s">
        <v>24</v>
      </c>
      <c r="AN19" s="12" t="s">
        <v>24</v>
      </c>
      <c r="AO19" s="12" t="s">
        <v>24</v>
      </c>
      <c r="AP19" s="12" t="s">
        <v>24</v>
      </c>
      <c r="AQ19" s="12" t="s">
        <v>24</v>
      </c>
      <c r="AR19" s="12" t="s">
        <v>24</v>
      </c>
      <c r="AS19" s="12" t="s">
        <v>24</v>
      </c>
      <c r="AT19" s="12" t="s">
        <v>24</v>
      </c>
      <c r="AU19" s="12" t="s">
        <v>24</v>
      </c>
      <c r="AV19" s="12" t="s">
        <v>24</v>
      </c>
      <c r="AW19" s="12" t="s">
        <v>24</v>
      </c>
      <c r="AX19" s="12" t="s">
        <v>24</v>
      </c>
      <c r="AY19" s="12" t="s">
        <v>24</v>
      </c>
      <c r="AZ19" s="12" t="s">
        <v>24</v>
      </c>
      <c r="BA19" s="12" t="s">
        <v>24</v>
      </c>
      <c r="BB19" s="12" t="s">
        <v>24</v>
      </c>
      <c r="BC19" s="12" t="s">
        <v>24</v>
      </c>
      <c r="BD19" s="12" t="s">
        <v>24</v>
      </c>
      <c r="BE19" s="13" t="s">
        <v>24</v>
      </c>
      <c r="BF19" s="12" t="s">
        <v>24</v>
      </c>
      <c r="BG19" s="12" t="s">
        <v>24</v>
      </c>
      <c r="BH19" s="12" t="s">
        <v>24</v>
      </c>
      <c r="BI19" s="12" t="s">
        <v>24</v>
      </c>
      <c r="BJ19" s="12" t="s">
        <v>24</v>
      </c>
      <c r="BK19" s="12" t="s">
        <v>24</v>
      </c>
      <c r="BL19" s="12" t="s">
        <v>24</v>
      </c>
      <c r="BM19" s="12" t="s">
        <v>24</v>
      </c>
      <c r="BN19" s="12" t="s">
        <v>24</v>
      </c>
      <c r="BO19" s="12" t="s">
        <v>24</v>
      </c>
      <c r="BP19" s="12" t="s">
        <v>24</v>
      </c>
      <c r="BQ19" s="12" t="s">
        <v>24</v>
      </c>
      <c r="BR19" s="12" t="s">
        <v>24</v>
      </c>
      <c r="BS19" s="12" t="s">
        <v>24</v>
      </c>
      <c r="BT19" s="12" t="s">
        <v>24</v>
      </c>
      <c r="BU19" s="12" t="s">
        <v>24</v>
      </c>
      <c r="BV19" s="17">
        <f t="shared" si="0"/>
        <v>0</v>
      </c>
      <c r="BW19" s="17" cm="1">
        <f t="array" ref="BW19">SUM(COUNTIF(D19:BU19,{"A";"AT"}))</f>
        <v>70</v>
      </c>
      <c r="BX19" s="17">
        <f t="shared" si="1"/>
        <v>0</v>
      </c>
      <c r="BY19" s="17">
        <f t="shared" si="2"/>
        <v>0</v>
      </c>
      <c r="BZ19" s="18">
        <f t="shared" si="3"/>
        <v>70</v>
      </c>
      <c r="CA19" s="33">
        <f>+BV19+'2DO TRIMESTRE'!BM19+'1ER TRIMESTRE'!BU19</f>
        <v>0</v>
      </c>
      <c r="CB19" s="18">
        <f>+BW19+'2DO TRIMESTRE'!BN19+'1ER TRIMESTRE'!BV19</f>
        <v>200</v>
      </c>
      <c r="CC19" s="33">
        <f>+BX19+'2DO TRIMESTRE'!BO19+'1ER TRIMESTRE'!BW19</f>
        <v>0</v>
      </c>
      <c r="CD19" s="33">
        <f>+BY19+'2DO TRIMESTRE'!BP19+'1ER TRIMESTRE'!BX19</f>
        <v>0</v>
      </c>
      <c r="CE19" s="18">
        <f>BZ19+'2DO TRIMESTRE'!BQ19+'1ER TRIMESTRE'!BY19</f>
        <v>200</v>
      </c>
    </row>
    <row r="20" spans="1:83" ht="20.25" customHeight="1" thickBot="1" x14ac:dyDescent="0.25">
      <c r="A20" s="1">
        <v>10</v>
      </c>
      <c r="B20" s="94">
        <f>+'1ER TRIMESTRE'!B20</f>
        <v>0</v>
      </c>
      <c r="C20" s="95"/>
      <c r="D20" s="11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  <c r="J20" s="12" t="s">
        <v>24</v>
      </c>
      <c r="K20" s="12" t="s">
        <v>24</v>
      </c>
      <c r="L20" s="12" t="s">
        <v>24</v>
      </c>
      <c r="M20" s="12" t="s">
        <v>24</v>
      </c>
      <c r="N20" s="12" t="s">
        <v>24</v>
      </c>
      <c r="O20" s="12" t="s">
        <v>24</v>
      </c>
      <c r="P20" s="12" t="s">
        <v>24</v>
      </c>
      <c r="Q20" s="12" t="s">
        <v>24</v>
      </c>
      <c r="R20" s="12" t="s">
        <v>24</v>
      </c>
      <c r="S20" s="13" t="s">
        <v>24</v>
      </c>
      <c r="T20" s="12" t="s">
        <v>24</v>
      </c>
      <c r="U20" s="12" t="s">
        <v>24</v>
      </c>
      <c r="V20" s="12" t="s">
        <v>24</v>
      </c>
      <c r="W20" s="12" t="s">
        <v>24</v>
      </c>
      <c r="X20" s="12" t="s">
        <v>24</v>
      </c>
      <c r="Y20" s="12" t="s">
        <v>24</v>
      </c>
      <c r="Z20" s="12" t="s">
        <v>24</v>
      </c>
      <c r="AA20" s="12" t="s">
        <v>24</v>
      </c>
      <c r="AB20" s="12" t="s">
        <v>24</v>
      </c>
      <c r="AC20" s="12" t="s">
        <v>24</v>
      </c>
      <c r="AD20" s="12" t="s">
        <v>24</v>
      </c>
      <c r="AE20" s="12" t="s">
        <v>24</v>
      </c>
      <c r="AF20" s="12" t="s">
        <v>24</v>
      </c>
      <c r="AG20" s="12" t="s">
        <v>24</v>
      </c>
      <c r="AH20" s="12" t="s">
        <v>24</v>
      </c>
      <c r="AI20" s="12" t="s">
        <v>24</v>
      </c>
      <c r="AJ20" s="12" t="s">
        <v>24</v>
      </c>
      <c r="AK20" s="13" t="s">
        <v>24</v>
      </c>
      <c r="AL20" s="12" t="s">
        <v>24</v>
      </c>
      <c r="AM20" s="12" t="s">
        <v>24</v>
      </c>
      <c r="AN20" s="12" t="s">
        <v>24</v>
      </c>
      <c r="AO20" s="12" t="s">
        <v>24</v>
      </c>
      <c r="AP20" s="12" t="s">
        <v>24</v>
      </c>
      <c r="AQ20" s="12" t="s">
        <v>24</v>
      </c>
      <c r="AR20" s="12" t="s">
        <v>24</v>
      </c>
      <c r="AS20" s="12" t="s">
        <v>24</v>
      </c>
      <c r="AT20" s="12" t="s">
        <v>24</v>
      </c>
      <c r="AU20" s="12" t="s">
        <v>24</v>
      </c>
      <c r="AV20" s="12" t="s">
        <v>24</v>
      </c>
      <c r="AW20" s="12" t="s">
        <v>24</v>
      </c>
      <c r="AX20" s="12" t="s">
        <v>24</v>
      </c>
      <c r="AY20" s="12" t="s">
        <v>24</v>
      </c>
      <c r="AZ20" s="12" t="s">
        <v>24</v>
      </c>
      <c r="BA20" s="12" t="s">
        <v>24</v>
      </c>
      <c r="BB20" s="12" t="s">
        <v>24</v>
      </c>
      <c r="BC20" s="12" t="s">
        <v>24</v>
      </c>
      <c r="BD20" s="12" t="s">
        <v>24</v>
      </c>
      <c r="BE20" s="13" t="s">
        <v>24</v>
      </c>
      <c r="BF20" s="12" t="s">
        <v>24</v>
      </c>
      <c r="BG20" s="12" t="s">
        <v>24</v>
      </c>
      <c r="BH20" s="12" t="s">
        <v>24</v>
      </c>
      <c r="BI20" s="12" t="s">
        <v>24</v>
      </c>
      <c r="BJ20" s="12" t="s">
        <v>24</v>
      </c>
      <c r="BK20" s="12" t="s">
        <v>24</v>
      </c>
      <c r="BL20" s="12" t="s">
        <v>24</v>
      </c>
      <c r="BM20" s="12" t="s">
        <v>24</v>
      </c>
      <c r="BN20" s="12" t="s">
        <v>24</v>
      </c>
      <c r="BO20" s="12" t="s">
        <v>24</v>
      </c>
      <c r="BP20" s="12" t="s">
        <v>24</v>
      </c>
      <c r="BQ20" s="12" t="s">
        <v>24</v>
      </c>
      <c r="BR20" s="12" t="s">
        <v>24</v>
      </c>
      <c r="BS20" s="12" t="s">
        <v>24</v>
      </c>
      <c r="BT20" s="12" t="s">
        <v>24</v>
      </c>
      <c r="BU20" s="12" t="s">
        <v>24</v>
      </c>
      <c r="BV20" s="17">
        <f t="shared" si="0"/>
        <v>0</v>
      </c>
      <c r="BW20" s="17" cm="1">
        <f t="array" ref="BW20">SUM(COUNTIF(D20:BU20,{"A";"AT"}))</f>
        <v>70</v>
      </c>
      <c r="BX20" s="17">
        <f t="shared" si="1"/>
        <v>0</v>
      </c>
      <c r="BY20" s="17">
        <f t="shared" si="2"/>
        <v>0</v>
      </c>
      <c r="BZ20" s="18">
        <f t="shared" si="3"/>
        <v>70</v>
      </c>
      <c r="CA20" s="33">
        <f>+BV20+'2DO TRIMESTRE'!BM20+'1ER TRIMESTRE'!BU20</f>
        <v>0</v>
      </c>
      <c r="CB20" s="18">
        <f>+BW20+'2DO TRIMESTRE'!BN20+'1ER TRIMESTRE'!BV20</f>
        <v>200</v>
      </c>
      <c r="CC20" s="33">
        <f>+BX20+'2DO TRIMESTRE'!BO20+'1ER TRIMESTRE'!BW20</f>
        <v>0</v>
      </c>
      <c r="CD20" s="33">
        <f>+BY20+'2DO TRIMESTRE'!BP20+'1ER TRIMESTRE'!BX20</f>
        <v>0</v>
      </c>
      <c r="CE20" s="18">
        <f>BZ20+'2DO TRIMESTRE'!BQ20+'1ER TRIMESTRE'!BY20</f>
        <v>200</v>
      </c>
    </row>
    <row r="21" spans="1:83" ht="20.25" customHeight="1" thickBot="1" x14ac:dyDescent="0.25">
      <c r="A21" s="1">
        <v>11</v>
      </c>
      <c r="B21" s="94">
        <f>+'1ER TRIMESTRE'!B21</f>
        <v>0</v>
      </c>
      <c r="C21" s="95"/>
      <c r="D21" s="11" t="s">
        <v>24</v>
      </c>
      <c r="E21" s="12" t="s">
        <v>24</v>
      </c>
      <c r="F21" s="12" t="s">
        <v>24</v>
      </c>
      <c r="G21" s="12" t="s">
        <v>24</v>
      </c>
      <c r="H21" s="12" t="s">
        <v>24</v>
      </c>
      <c r="I21" s="12" t="s">
        <v>24</v>
      </c>
      <c r="J21" s="12" t="s">
        <v>24</v>
      </c>
      <c r="K21" s="12" t="s">
        <v>24</v>
      </c>
      <c r="L21" s="12" t="s">
        <v>24</v>
      </c>
      <c r="M21" s="12" t="s">
        <v>24</v>
      </c>
      <c r="N21" s="12" t="s">
        <v>24</v>
      </c>
      <c r="O21" s="12" t="s">
        <v>24</v>
      </c>
      <c r="P21" s="12" t="s">
        <v>24</v>
      </c>
      <c r="Q21" s="12" t="s">
        <v>24</v>
      </c>
      <c r="R21" s="12" t="s">
        <v>24</v>
      </c>
      <c r="S21" s="13" t="s">
        <v>24</v>
      </c>
      <c r="T21" s="12" t="s">
        <v>24</v>
      </c>
      <c r="U21" s="12" t="s">
        <v>24</v>
      </c>
      <c r="V21" s="12" t="s">
        <v>24</v>
      </c>
      <c r="W21" s="12" t="s">
        <v>24</v>
      </c>
      <c r="X21" s="12" t="s">
        <v>24</v>
      </c>
      <c r="Y21" s="12" t="s">
        <v>24</v>
      </c>
      <c r="Z21" s="12" t="s">
        <v>24</v>
      </c>
      <c r="AA21" s="12" t="s">
        <v>24</v>
      </c>
      <c r="AB21" s="12" t="s">
        <v>24</v>
      </c>
      <c r="AC21" s="12" t="s">
        <v>24</v>
      </c>
      <c r="AD21" s="12" t="s">
        <v>24</v>
      </c>
      <c r="AE21" s="12" t="s">
        <v>24</v>
      </c>
      <c r="AF21" s="12" t="s">
        <v>24</v>
      </c>
      <c r="AG21" s="12" t="s">
        <v>24</v>
      </c>
      <c r="AH21" s="12" t="s">
        <v>24</v>
      </c>
      <c r="AI21" s="12" t="s">
        <v>24</v>
      </c>
      <c r="AJ21" s="12" t="s">
        <v>24</v>
      </c>
      <c r="AK21" s="13" t="s">
        <v>24</v>
      </c>
      <c r="AL21" s="12" t="s">
        <v>24</v>
      </c>
      <c r="AM21" s="12" t="s">
        <v>24</v>
      </c>
      <c r="AN21" s="12" t="s">
        <v>24</v>
      </c>
      <c r="AO21" s="12" t="s">
        <v>24</v>
      </c>
      <c r="AP21" s="12" t="s">
        <v>24</v>
      </c>
      <c r="AQ21" s="12" t="s">
        <v>24</v>
      </c>
      <c r="AR21" s="12" t="s">
        <v>24</v>
      </c>
      <c r="AS21" s="12" t="s">
        <v>24</v>
      </c>
      <c r="AT21" s="12" t="s">
        <v>24</v>
      </c>
      <c r="AU21" s="12" t="s">
        <v>24</v>
      </c>
      <c r="AV21" s="12" t="s">
        <v>24</v>
      </c>
      <c r="AW21" s="12" t="s">
        <v>24</v>
      </c>
      <c r="AX21" s="12" t="s">
        <v>24</v>
      </c>
      <c r="AY21" s="12" t="s">
        <v>24</v>
      </c>
      <c r="AZ21" s="12" t="s">
        <v>24</v>
      </c>
      <c r="BA21" s="12" t="s">
        <v>24</v>
      </c>
      <c r="BB21" s="12" t="s">
        <v>24</v>
      </c>
      <c r="BC21" s="12" t="s">
        <v>24</v>
      </c>
      <c r="BD21" s="12" t="s">
        <v>24</v>
      </c>
      <c r="BE21" s="13" t="s">
        <v>24</v>
      </c>
      <c r="BF21" s="12" t="s">
        <v>24</v>
      </c>
      <c r="BG21" s="12" t="s">
        <v>24</v>
      </c>
      <c r="BH21" s="12" t="s">
        <v>24</v>
      </c>
      <c r="BI21" s="12" t="s">
        <v>24</v>
      </c>
      <c r="BJ21" s="12" t="s">
        <v>24</v>
      </c>
      <c r="BK21" s="12" t="s">
        <v>24</v>
      </c>
      <c r="BL21" s="12" t="s">
        <v>24</v>
      </c>
      <c r="BM21" s="12" t="s">
        <v>24</v>
      </c>
      <c r="BN21" s="12" t="s">
        <v>24</v>
      </c>
      <c r="BO21" s="12" t="s">
        <v>24</v>
      </c>
      <c r="BP21" s="12" t="s">
        <v>24</v>
      </c>
      <c r="BQ21" s="12" t="s">
        <v>24</v>
      </c>
      <c r="BR21" s="12" t="s">
        <v>24</v>
      </c>
      <c r="BS21" s="12" t="s">
        <v>24</v>
      </c>
      <c r="BT21" s="12" t="s">
        <v>24</v>
      </c>
      <c r="BU21" s="12" t="s">
        <v>24</v>
      </c>
      <c r="BV21" s="17">
        <f t="shared" si="0"/>
        <v>0</v>
      </c>
      <c r="BW21" s="17" cm="1">
        <f t="array" ref="BW21">SUM(COUNTIF(D21:BU21,{"A";"AT"}))</f>
        <v>70</v>
      </c>
      <c r="BX21" s="17">
        <f t="shared" si="1"/>
        <v>0</v>
      </c>
      <c r="BY21" s="17">
        <f t="shared" si="2"/>
        <v>0</v>
      </c>
      <c r="BZ21" s="18">
        <f t="shared" si="3"/>
        <v>70</v>
      </c>
      <c r="CA21" s="33">
        <f>+BV21+'2DO TRIMESTRE'!BM21+'1ER TRIMESTRE'!BU21</f>
        <v>0</v>
      </c>
      <c r="CB21" s="18">
        <f>+BW21+'2DO TRIMESTRE'!BN21+'1ER TRIMESTRE'!BV21</f>
        <v>200</v>
      </c>
      <c r="CC21" s="33">
        <f>+BX21+'2DO TRIMESTRE'!BO21+'1ER TRIMESTRE'!BW21</f>
        <v>0</v>
      </c>
      <c r="CD21" s="33">
        <f>+BY21+'2DO TRIMESTRE'!BP21+'1ER TRIMESTRE'!BX21</f>
        <v>0</v>
      </c>
      <c r="CE21" s="18">
        <f>BZ21+'2DO TRIMESTRE'!BQ21+'1ER TRIMESTRE'!BY21</f>
        <v>200</v>
      </c>
    </row>
    <row r="22" spans="1:83" ht="20.25" customHeight="1" thickBot="1" x14ac:dyDescent="0.25">
      <c r="A22" s="1">
        <v>12</v>
      </c>
      <c r="B22" s="94">
        <f>+'1ER TRIMESTRE'!B22</f>
        <v>0</v>
      </c>
      <c r="C22" s="95"/>
      <c r="D22" s="11" t="s">
        <v>24</v>
      </c>
      <c r="E22" s="12" t="s">
        <v>24</v>
      </c>
      <c r="F22" s="12" t="s">
        <v>24</v>
      </c>
      <c r="G22" s="12" t="s">
        <v>24</v>
      </c>
      <c r="H22" s="12" t="s">
        <v>24</v>
      </c>
      <c r="I22" s="12" t="s">
        <v>24</v>
      </c>
      <c r="J22" s="12" t="s">
        <v>24</v>
      </c>
      <c r="K22" s="12" t="s">
        <v>24</v>
      </c>
      <c r="L22" s="12" t="s">
        <v>24</v>
      </c>
      <c r="M22" s="12" t="s">
        <v>24</v>
      </c>
      <c r="N22" s="12" t="s">
        <v>24</v>
      </c>
      <c r="O22" s="12" t="s">
        <v>24</v>
      </c>
      <c r="P22" s="12" t="s">
        <v>24</v>
      </c>
      <c r="Q22" s="12" t="s">
        <v>24</v>
      </c>
      <c r="R22" s="12" t="s">
        <v>24</v>
      </c>
      <c r="S22" s="13" t="s">
        <v>24</v>
      </c>
      <c r="T22" s="12" t="s">
        <v>24</v>
      </c>
      <c r="U22" s="12" t="s">
        <v>24</v>
      </c>
      <c r="V22" s="12" t="s">
        <v>24</v>
      </c>
      <c r="W22" s="12" t="s">
        <v>24</v>
      </c>
      <c r="X22" s="12" t="s">
        <v>24</v>
      </c>
      <c r="Y22" s="12" t="s">
        <v>24</v>
      </c>
      <c r="Z22" s="12" t="s">
        <v>24</v>
      </c>
      <c r="AA22" s="12" t="s">
        <v>24</v>
      </c>
      <c r="AB22" s="12" t="s">
        <v>24</v>
      </c>
      <c r="AC22" s="12" t="s">
        <v>24</v>
      </c>
      <c r="AD22" s="12" t="s">
        <v>24</v>
      </c>
      <c r="AE22" s="12" t="s">
        <v>24</v>
      </c>
      <c r="AF22" s="12" t="s">
        <v>24</v>
      </c>
      <c r="AG22" s="12" t="s">
        <v>24</v>
      </c>
      <c r="AH22" s="12" t="s">
        <v>24</v>
      </c>
      <c r="AI22" s="12" t="s">
        <v>24</v>
      </c>
      <c r="AJ22" s="12" t="s">
        <v>24</v>
      </c>
      <c r="AK22" s="13" t="s">
        <v>24</v>
      </c>
      <c r="AL22" s="12" t="s">
        <v>24</v>
      </c>
      <c r="AM22" s="12" t="s">
        <v>24</v>
      </c>
      <c r="AN22" s="12" t="s">
        <v>24</v>
      </c>
      <c r="AO22" s="12" t="s">
        <v>24</v>
      </c>
      <c r="AP22" s="12" t="s">
        <v>24</v>
      </c>
      <c r="AQ22" s="12" t="s">
        <v>24</v>
      </c>
      <c r="AR22" s="12" t="s">
        <v>24</v>
      </c>
      <c r="AS22" s="12" t="s">
        <v>24</v>
      </c>
      <c r="AT22" s="12" t="s">
        <v>24</v>
      </c>
      <c r="AU22" s="12" t="s">
        <v>24</v>
      </c>
      <c r="AV22" s="12" t="s">
        <v>24</v>
      </c>
      <c r="AW22" s="12" t="s">
        <v>24</v>
      </c>
      <c r="AX22" s="12" t="s">
        <v>24</v>
      </c>
      <c r="AY22" s="12" t="s">
        <v>24</v>
      </c>
      <c r="AZ22" s="12" t="s">
        <v>24</v>
      </c>
      <c r="BA22" s="12" t="s">
        <v>24</v>
      </c>
      <c r="BB22" s="12" t="s">
        <v>24</v>
      </c>
      <c r="BC22" s="12" t="s">
        <v>24</v>
      </c>
      <c r="BD22" s="12" t="s">
        <v>24</v>
      </c>
      <c r="BE22" s="13" t="s">
        <v>24</v>
      </c>
      <c r="BF22" s="12" t="s">
        <v>24</v>
      </c>
      <c r="BG22" s="12" t="s">
        <v>24</v>
      </c>
      <c r="BH22" s="12" t="s">
        <v>24</v>
      </c>
      <c r="BI22" s="12" t="s">
        <v>24</v>
      </c>
      <c r="BJ22" s="12" t="s">
        <v>24</v>
      </c>
      <c r="BK22" s="12" t="s">
        <v>24</v>
      </c>
      <c r="BL22" s="12" t="s">
        <v>24</v>
      </c>
      <c r="BM22" s="12" t="s">
        <v>24</v>
      </c>
      <c r="BN22" s="12" t="s">
        <v>24</v>
      </c>
      <c r="BO22" s="12" t="s">
        <v>24</v>
      </c>
      <c r="BP22" s="12" t="s">
        <v>24</v>
      </c>
      <c r="BQ22" s="12" t="s">
        <v>24</v>
      </c>
      <c r="BR22" s="12" t="s">
        <v>24</v>
      </c>
      <c r="BS22" s="12" t="s">
        <v>24</v>
      </c>
      <c r="BT22" s="12" t="s">
        <v>24</v>
      </c>
      <c r="BU22" s="12" t="s">
        <v>24</v>
      </c>
      <c r="BV22" s="17">
        <f t="shared" si="0"/>
        <v>0</v>
      </c>
      <c r="BW22" s="17" cm="1">
        <f t="array" ref="BW22">SUM(COUNTIF(D22:BU22,{"A";"AT"}))</f>
        <v>70</v>
      </c>
      <c r="BX22" s="17">
        <f t="shared" si="1"/>
        <v>0</v>
      </c>
      <c r="BY22" s="17">
        <f t="shared" si="2"/>
        <v>0</v>
      </c>
      <c r="BZ22" s="18">
        <f t="shared" si="3"/>
        <v>70</v>
      </c>
      <c r="CA22" s="33">
        <f>+BV22+'2DO TRIMESTRE'!BM22+'1ER TRIMESTRE'!BU22</f>
        <v>0</v>
      </c>
      <c r="CB22" s="18">
        <f>+BW22+'2DO TRIMESTRE'!BN22+'1ER TRIMESTRE'!BV22</f>
        <v>200</v>
      </c>
      <c r="CC22" s="33">
        <f>+BX22+'2DO TRIMESTRE'!BO22+'1ER TRIMESTRE'!BW22</f>
        <v>0</v>
      </c>
      <c r="CD22" s="33">
        <f>+BY22+'2DO TRIMESTRE'!BP22+'1ER TRIMESTRE'!BX22</f>
        <v>0</v>
      </c>
      <c r="CE22" s="18">
        <f>BZ22+'2DO TRIMESTRE'!BQ22+'1ER TRIMESTRE'!BY22</f>
        <v>200</v>
      </c>
    </row>
    <row r="23" spans="1:83" ht="20.25" customHeight="1" thickBot="1" x14ac:dyDescent="0.25">
      <c r="A23" s="1">
        <v>13</v>
      </c>
      <c r="B23" s="94">
        <f>+'1ER TRIMESTRE'!B23</f>
        <v>0</v>
      </c>
      <c r="C23" s="95"/>
      <c r="D23" s="11" t="s">
        <v>24</v>
      </c>
      <c r="E23" s="12" t="s">
        <v>24</v>
      </c>
      <c r="F23" s="12" t="s">
        <v>24</v>
      </c>
      <c r="G23" s="12" t="s">
        <v>24</v>
      </c>
      <c r="H23" s="12" t="s">
        <v>24</v>
      </c>
      <c r="I23" s="12" t="s">
        <v>24</v>
      </c>
      <c r="J23" s="12" t="s">
        <v>24</v>
      </c>
      <c r="K23" s="12" t="s">
        <v>24</v>
      </c>
      <c r="L23" s="12" t="s">
        <v>24</v>
      </c>
      <c r="M23" s="12" t="s">
        <v>24</v>
      </c>
      <c r="N23" s="12" t="s">
        <v>24</v>
      </c>
      <c r="O23" s="12" t="s">
        <v>24</v>
      </c>
      <c r="P23" s="12" t="s">
        <v>24</v>
      </c>
      <c r="Q23" s="12" t="s">
        <v>24</v>
      </c>
      <c r="R23" s="12" t="s">
        <v>24</v>
      </c>
      <c r="S23" s="13" t="s">
        <v>24</v>
      </c>
      <c r="T23" s="12" t="s">
        <v>24</v>
      </c>
      <c r="U23" s="12" t="s">
        <v>24</v>
      </c>
      <c r="V23" s="12" t="s">
        <v>24</v>
      </c>
      <c r="W23" s="12" t="s">
        <v>24</v>
      </c>
      <c r="X23" s="12" t="s">
        <v>24</v>
      </c>
      <c r="Y23" s="12" t="s">
        <v>24</v>
      </c>
      <c r="Z23" s="12" t="s">
        <v>24</v>
      </c>
      <c r="AA23" s="12" t="s">
        <v>24</v>
      </c>
      <c r="AB23" s="12" t="s">
        <v>24</v>
      </c>
      <c r="AC23" s="12" t="s">
        <v>24</v>
      </c>
      <c r="AD23" s="12" t="s">
        <v>24</v>
      </c>
      <c r="AE23" s="12" t="s">
        <v>24</v>
      </c>
      <c r="AF23" s="12" t="s">
        <v>24</v>
      </c>
      <c r="AG23" s="12" t="s">
        <v>24</v>
      </c>
      <c r="AH23" s="12" t="s">
        <v>24</v>
      </c>
      <c r="AI23" s="12" t="s">
        <v>24</v>
      </c>
      <c r="AJ23" s="12" t="s">
        <v>24</v>
      </c>
      <c r="AK23" s="13" t="s">
        <v>24</v>
      </c>
      <c r="AL23" s="12" t="s">
        <v>24</v>
      </c>
      <c r="AM23" s="12" t="s">
        <v>24</v>
      </c>
      <c r="AN23" s="12" t="s">
        <v>24</v>
      </c>
      <c r="AO23" s="12" t="s">
        <v>24</v>
      </c>
      <c r="AP23" s="12" t="s">
        <v>24</v>
      </c>
      <c r="AQ23" s="12" t="s">
        <v>24</v>
      </c>
      <c r="AR23" s="12" t="s">
        <v>24</v>
      </c>
      <c r="AS23" s="12" t="s">
        <v>24</v>
      </c>
      <c r="AT23" s="12" t="s">
        <v>24</v>
      </c>
      <c r="AU23" s="12" t="s">
        <v>24</v>
      </c>
      <c r="AV23" s="12" t="s">
        <v>24</v>
      </c>
      <c r="AW23" s="12" t="s">
        <v>24</v>
      </c>
      <c r="AX23" s="12" t="s">
        <v>24</v>
      </c>
      <c r="AY23" s="12" t="s">
        <v>24</v>
      </c>
      <c r="AZ23" s="12" t="s">
        <v>24</v>
      </c>
      <c r="BA23" s="12" t="s">
        <v>24</v>
      </c>
      <c r="BB23" s="12" t="s">
        <v>24</v>
      </c>
      <c r="BC23" s="12" t="s">
        <v>24</v>
      </c>
      <c r="BD23" s="12" t="s">
        <v>24</v>
      </c>
      <c r="BE23" s="13" t="s">
        <v>24</v>
      </c>
      <c r="BF23" s="12" t="s">
        <v>24</v>
      </c>
      <c r="BG23" s="12" t="s">
        <v>24</v>
      </c>
      <c r="BH23" s="12" t="s">
        <v>24</v>
      </c>
      <c r="BI23" s="12" t="s">
        <v>24</v>
      </c>
      <c r="BJ23" s="12" t="s">
        <v>24</v>
      </c>
      <c r="BK23" s="12" t="s">
        <v>24</v>
      </c>
      <c r="BL23" s="12" t="s">
        <v>24</v>
      </c>
      <c r="BM23" s="12" t="s">
        <v>24</v>
      </c>
      <c r="BN23" s="12" t="s">
        <v>24</v>
      </c>
      <c r="BO23" s="12" t="s">
        <v>24</v>
      </c>
      <c r="BP23" s="12" t="s">
        <v>24</v>
      </c>
      <c r="BQ23" s="12" t="s">
        <v>24</v>
      </c>
      <c r="BR23" s="12" t="s">
        <v>24</v>
      </c>
      <c r="BS23" s="12" t="s">
        <v>24</v>
      </c>
      <c r="BT23" s="12" t="s">
        <v>24</v>
      </c>
      <c r="BU23" s="12" t="s">
        <v>24</v>
      </c>
      <c r="BV23" s="17">
        <f t="shared" si="0"/>
        <v>0</v>
      </c>
      <c r="BW23" s="17" cm="1">
        <f t="array" ref="BW23">SUM(COUNTIF(D23:BU23,{"A";"AT"}))</f>
        <v>70</v>
      </c>
      <c r="BX23" s="17">
        <f t="shared" si="1"/>
        <v>0</v>
      </c>
      <c r="BY23" s="17">
        <f t="shared" si="2"/>
        <v>0</v>
      </c>
      <c r="BZ23" s="18">
        <f t="shared" si="3"/>
        <v>70</v>
      </c>
      <c r="CA23" s="33">
        <f>+BV23+'2DO TRIMESTRE'!BM23+'1ER TRIMESTRE'!BU23</f>
        <v>0</v>
      </c>
      <c r="CB23" s="18">
        <f>+BW23+'2DO TRIMESTRE'!BN23+'1ER TRIMESTRE'!BV23</f>
        <v>200</v>
      </c>
      <c r="CC23" s="33">
        <f>+BX23+'2DO TRIMESTRE'!BO23+'1ER TRIMESTRE'!BW23</f>
        <v>0</v>
      </c>
      <c r="CD23" s="33">
        <f>+BY23+'2DO TRIMESTRE'!BP23+'1ER TRIMESTRE'!BX23</f>
        <v>0</v>
      </c>
      <c r="CE23" s="18">
        <f>BZ23+'2DO TRIMESTRE'!BQ23+'1ER TRIMESTRE'!BY23</f>
        <v>200</v>
      </c>
    </row>
    <row r="24" spans="1:83" ht="20.25" customHeight="1" thickBot="1" x14ac:dyDescent="0.25">
      <c r="A24" s="1">
        <v>14</v>
      </c>
      <c r="B24" s="94">
        <f>+'1ER TRIMESTRE'!B24</f>
        <v>0</v>
      </c>
      <c r="C24" s="95"/>
      <c r="D24" s="11" t="s">
        <v>24</v>
      </c>
      <c r="E24" s="12" t="s">
        <v>24</v>
      </c>
      <c r="F24" s="12" t="s">
        <v>24</v>
      </c>
      <c r="G24" s="12" t="s">
        <v>24</v>
      </c>
      <c r="H24" s="12" t="s">
        <v>24</v>
      </c>
      <c r="I24" s="12" t="s">
        <v>24</v>
      </c>
      <c r="J24" s="12" t="s">
        <v>24</v>
      </c>
      <c r="K24" s="12" t="s">
        <v>24</v>
      </c>
      <c r="L24" s="12" t="s">
        <v>24</v>
      </c>
      <c r="M24" s="12" t="s">
        <v>24</v>
      </c>
      <c r="N24" s="12" t="s">
        <v>24</v>
      </c>
      <c r="O24" s="12" t="s">
        <v>24</v>
      </c>
      <c r="P24" s="12" t="s">
        <v>24</v>
      </c>
      <c r="Q24" s="12" t="s">
        <v>24</v>
      </c>
      <c r="R24" s="12" t="s">
        <v>24</v>
      </c>
      <c r="S24" s="13" t="s">
        <v>24</v>
      </c>
      <c r="T24" s="12" t="s">
        <v>24</v>
      </c>
      <c r="U24" s="12" t="s">
        <v>24</v>
      </c>
      <c r="V24" s="12" t="s">
        <v>24</v>
      </c>
      <c r="W24" s="12" t="s">
        <v>24</v>
      </c>
      <c r="X24" s="12" t="s">
        <v>24</v>
      </c>
      <c r="Y24" s="12" t="s">
        <v>24</v>
      </c>
      <c r="Z24" s="12" t="s">
        <v>24</v>
      </c>
      <c r="AA24" s="12" t="s">
        <v>24</v>
      </c>
      <c r="AB24" s="12" t="s">
        <v>24</v>
      </c>
      <c r="AC24" s="12" t="s">
        <v>24</v>
      </c>
      <c r="AD24" s="12" t="s">
        <v>24</v>
      </c>
      <c r="AE24" s="12" t="s">
        <v>24</v>
      </c>
      <c r="AF24" s="12" t="s">
        <v>24</v>
      </c>
      <c r="AG24" s="12" t="s">
        <v>24</v>
      </c>
      <c r="AH24" s="12" t="s">
        <v>24</v>
      </c>
      <c r="AI24" s="12" t="s">
        <v>24</v>
      </c>
      <c r="AJ24" s="12" t="s">
        <v>24</v>
      </c>
      <c r="AK24" s="13" t="s">
        <v>24</v>
      </c>
      <c r="AL24" s="12" t="s">
        <v>24</v>
      </c>
      <c r="AM24" s="12" t="s">
        <v>24</v>
      </c>
      <c r="AN24" s="12" t="s">
        <v>24</v>
      </c>
      <c r="AO24" s="12" t="s">
        <v>24</v>
      </c>
      <c r="AP24" s="12" t="s">
        <v>24</v>
      </c>
      <c r="AQ24" s="12" t="s">
        <v>24</v>
      </c>
      <c r="AR24" s="12" t="s">
        <v>24</v>
      </c>
      <c r="AS24" s="12" t="s">
        <v>24</v>
      </c>
      <c r="AT24" s="12" t="s">
        <v>24</v>
      </c>
      <c r="AU24" s="12" t="s">
        <v>24</v>
      </c>
      <c r="AV24" s="12" t="s">
        <v>24</v>
      </c>
      <c r="AW24" s="12" t="s">
        <v>24</v>
      </c>
      <c r="AX24" s="12" t="s">
        <v>24</v>
      </c>
      <c r="AY24" s="12" t="s">
        <v>24</v>
      </c>
      <c r="AZ24" s="12" t="s">
        <v>24</v>
      </c>
      <c r="BA24" s="12" t="s">
        <v>24</v>
      </c>
      <c r="BB24" s="12" t="s">
        <v>24</v>
      </c>
      <c r="BC24" s="12" t="s">
        <v>24</v>
      </c>
      <c r="BD24" s="12" t="s">
        <v>24</v>
      </c>
      <c r="BE24" s="13" t="s">
        <v>24</v>
      </c>
      <c r="BF24" s="12" t="s">
        <v>24</v>
      </c>
      <c r="BG24" s="12" t="s">
        <v>24</v>
      </c>
      <c r="BH24" s="12" t="s">
        <v>24</v>
      </c>
      <c r="BI24" s="12" t="s">
        <v>24</v>
      </c>
      <c r="BJ24" s="12" t="s">
        <v>24</v>
      </c>
      <c r="BK24" s="12" t="s">
        <v>24</v>
      </c>
      <c r="BL24" s="12" t="s">
        <v>24</v>
      </c>
      <c r="BM24" s="12" t="s">
        <v>24</v>
      </c>
      <c r="BN24" s="12" t="s">
        <v>24</v>
      </c>
      <c r="BO24" s="12" t="s">
        <v>24</v>
      </c>
      <c r="BP24" s="12" t="s">
        <v>24</v>
      </c>
      <c r="BQ24" s="12" t="s">
        <v>24</v>
      </c>
      <c r="BR24" s="12" t="s">
        <v>24</v>
      </c>
      <c r="BS24" s="12" t="s">
        <v>24</v>
      </c>
      <c r="BT24" s="12" t="s">
        <v>24</v>
      </c>
      <c r="BU24" s="12" t="s">
        <v>24</v>
      </c>
      <c r="BV24" s="17">
        <f t="shared" si="0"/>
        <v>0</v>
      </c>
      <c r="BW24" s="17" cm="1">
        <f t="array" ref="BW24">SUM(COUNTIF(D24:BU24,{"A";"AT"}))</f>
        <v>70</v>
      </c>
      <c r="BX24" s="17">
        <f t="shared" si="1"/>
        <v>0</v>
      </c>
      <c r="BY24" s="17">
        <f t="shared" si="2"/>
        <v>0</v>
      </c>
      <c r="BZ24" s="18">
        <f t="shared" si="3"/>
        <v>70</v>
      </c>
      <c r="CA24" s="33">
        <f>+BV24+'2DO TRIMESTRE'!BM24+'1ER TRIMESTRE'!BU24</f>
        <v>0</v>
      </c>
      <c r="CB24" s="18">
        <f>+BW24+'2DO TRIMESTRE'!BN24+'1ER TRIMESTRE'!BV24</f>
        <v>200</v>
      </c>
      <c r="CC24" s="33">
        <f>+BX24+'2DO TRIMESTRE'!BO24+'1ER TRIMESTRE'!BW24</f>
        <v>0</v>
      </c>
      <c r="CD24" s="33">
        <f>+BY24+'2DO TRIMESTRE'!BP24+'1ER TRIMESTRE'!BX24</f>
        <v>0</v>
      </c>
      <c r="CE24" s="18">
        <f>BZ24+'2DO TRIMESTRE'!BQ24+'1ER TRIMESTRE'!BY24</f>
        <v>200</v>
      </c>
    </row>
    <row r="25" spans="1:83" ht="20.25" customHeight="1" thickBot="1" x14ac:dyDescent="0.25">
      <c r="A25" s="1">
        <v>15</v>
      </c>
      <c r="B25" s="94">
        <f>+'1ER TRIMESTRE'!B25</f>
        <v>0</v>
      </c>
      <c r="C25" s="95"/>
      <c r="D25" s="11" t="s">
        <v>24</v>
      </c>
      <c r="E25" s="12" t="s">
        <v>24</v>
      </c>
      <c r="F25" s="12" t="s">
        <v>24</v>
      </c>
      <c r="G25" s="12" t="s">
        <v>24</v>
      </c>
      <c r="H25" s="12" t="s">
        <v>24</v>
      </c>
      <c r="I25" s="12" t="s">
        <v>24</v>
      </c>
      <c r="J25" s="12" t="s">
        <v>24</v>
      </c>
      <c r="K25" s="12" t="s">
        <v>24</v>
      </c>
      <c r="L25" s="12" t="s">
        <v>24</v>
      </c>
      <c r="M25" s="12" t="s">
        <v>24</v>
      </c>
      <c r="N25" s="12" t="s">
        <v>24</v>
      </c>
      <c r="O25" s="12" t="s">
        <v>24</v>
      </c>
      <c r="P25" s="12" t="s">
        <v>24</v>
      </c>
      <c r="Q25" s="12" t="s">
        <v>24</v>
      </c>
      <c r="R25" s="12" t="s">
        <v>24</v>
      </c>
      <c r="S25" s="13" t="s">
        <v>24</v>
      </c>
      <c r="T25" s="12" t="s">
        <v>24</v>
      </c>
      <c r="U25" s="12" t="s">
        <v>24</v>
      </c>
      <c r="V25" s="12" t="s">
        <v>24</v>
      </c>
      <c r="W25" s="12" t="s">
        <v>24</v>
      </c>
      <c r="X25" s="12" t="s">
        <v>24</v>
      </c>
      <c r="Y25" s="12" t="s">
        <v>24</v>
      </c>
      <c r="Z25" s="12" t="s">
        <v>24</v>
      </c>
      <c r="AA25" s="12" t="s">
        <v>24</v>
      </c>
      <c r="AB25" s="12" t="s">
        <v>24</v>
      </c>
      <c r="AC25" s="12" t="s">
        <v>24</v>
      </c>
      <c r="AD25" s="12" t="s">
        <v>24</v>
      </c>
      <c r="AE25" s="12" t="s">
        <v>24</v>
      </c>
      <c r="AF25" s="12" t="s">
        <v>24</v>
      </c>
      <c r="AG25" s="12" t="s">
        <v>24</v>
      </c>
      <c r="AH25" s="12" t="s">
        <v>24</v>
      </c>
      <c r="AI25" s="12" t="s">
        <v>24</v>
      </c>
      <c r="AJ25" s="12" t="s">
        <v>24</v>
      </c>
      <c r="AK25" s="13" t="s">
        <v>24</v>
      </c>
      <c r="AL25" s="12" t="s">
        <v>24</v>
      </c>
      <c r="AM25" s="12" t="s">
        <v>24</v>
      </c>
      <c r="AN25" s="12" t="s">
        <v>24</v>
      </c>
      <c r="AO25" s="12" t="s">
        <v>24</v>
      </c>
      <c r="AP25" s="12" t="s">
        <v>24</v>
      </c>
      <c r="AQ25" s="12" t="s">
        <v>24</v>
      </c>
      <c r="AR25" s="12" t="s">
        <v>24</v>
      </c>
      <c r="AS25" s="12" t="s">
        <v>24</v>
      </c>
      <c r="AT25" s="12" t="s">
        <v>24</v>
      </c>
      <c r="AU25" s="12" t="s">
        <v>24</v>
      </c>
      <c r="AV25" s="12" t="s">
        <v>24</v>
      </c>
      <c r="AW25" s="12" t="s">
        <v>24</v>
      </c>
      <c r="AX25" s="12" t="s">
        <v>24</v>
      </c>
      <c r="AY25" s="12" t="s">
        <v>24</v>
      </c>
      <c r="AZ25" s="12" t="s">
        <v>24</v>
      </c>
      <c r="BA25" s="12" t="s">
        <v>24</v>
      </c>
      <c r="BB25" s="12" t="s">
        <v>24</v>
      </c>
      <c r="BC25" s="12" t="s">
        <v>24</v>
      </c>
      <c r="BD25" s="12" t="s">
        <v>24</v>
      </c>
      <c r="BE25" s="13" t="s">
        <v>24</v>
      </c>
      <c r="BF25" s="12" t="s">
        <v>24</v>
      </c>
      <c r="BG25" s="12" t="s">
        <v>24</v>
      </c>
      <c r="BH25" s="12" t="s">
        <v>24</v>
      </c>
      <c r="BI25" s="12" t="s">
        <v>24</v>
      </c>
      <c r="BJ25" s="12" t="s">
        <v>24</v>
      </c>
      <c r="BK25" s="12" t="s">
        <v>24</v>
      </c>
      <c r="BL25" s="12" t="s">
        <v>24</v>
      </c>
      <c r="BM25" s="12" t="s">
        <v>24</v>
      </c>
      <c r="BN25" s="12" t="s">
        <v>24</v>
      </c>
      <c r="BO25" s="12" t="s">
        <v>24</v>
      </c>
      <c r="BP25" s="12" t="s">
        <v>24</v>
      </c>
      <c r="BQ25" s="12" t="s">
        <v>24</v>
      </c>
      <c r="BR25" s="12" t="s">
        <v>24</v>
      </c>
      <c r="BS25" s="12" t="s">
        <v>24</v>
      </c>
      <c r="BT25" s="12" t="s">
        <v>24</v>
      </c>
      <c r="BU25" s="12" t="s">
        <v>24</v>
      </c>
      <c r="BV25" s="17">
        <f t="shared" si="0"/>
        <v>0</v>
      </c>
      <c r="BW25" s="17" cm="1">
        <f t="array" ref="BW25">SUM(COUNTIF(D25:BU25,{"A";"AT"}))</f>
        <v>70</v>
      </c>
      <c r="BX25" s="17">
        <f t="shared" si="1"/>
        <v>0</v>
      </c>
      <c r="BY25" s="17">
        <f t="shared" si="2"/>
        <v>0</v>
      </c>
      <c r="BZ25" s="18">
        <f t="shared" si="3"/>
        <v>70</v>
      </c>
      <c r="CA25" s="33">
        <f>+BV25+'2DO TRIMESTRE'!BM25+'1ER TRIMESTRE'!BU25</f>
        <v>0</v>
      </c>
      <c r="CB25" s="18">
        <f>+BW25+'2DO TRIMESTRE'!BN25+'1ER TRIMESTRE'!BV25</f>
        <v>200</v>
      </c>
      <c r="CC25" s="33">
        <f>+BX25+'2DO TRIMESTRE'!BO25+'1ER TRIMESTRE'!BW25</f>
        <v>0</v>
      </c>
      <c r="CD25" s="33">
        <f>+BY25+'2DO TRIMESTRE'!BP25+'1ER TRIMESTRE'!BX25</f>
        <v>0</v>
      </c>
      <c r="CE25" s="18">
        <f>BZ25+'2DO TRIMESTRE'!BQ25+'1ER TRIMESTRE'!BY25</f>
        <v>200</v>
      </c>
    </row>
    <row r="26" spans="1:83" ht="20.25" customHeight="1" thickBot="1" x14ac:dyDescent="0.25">
      <c r="A26" s="1">
        <v>16</v>
      </c>
      <c r="B26" s="94">
        <f>+'1ER TRIMESTRE'!B26</f>
        <v>0</v>
      </c>
      <c r="C26" s="95"/>
      <c r="D26" s="11" t="s">
        <v>24</v>
      </c>
      <c r="E26" s="12" t="s">
        <v>24</v>
      </c>
      <c r="F26" s="12" t="s">
        <v>24</v>
      </c>
      <c r="G26" s="12" t="s">
        <v>24</v>
      </c>
      <c r="H26" s="12" t="s">
        <v>24</v>
      </c>
      <c r="I26" s="12" t="s">
        <v>24</v>
      </c>
      <c r="J26" s="12" t="s">
        <v>24</v>
      </c>
      <c r="K26" s="12" t="s">
        <v>24</v>
      </c>
      <c r="L26" s="12" t="s">
        <v>24</v>
      </c>
      <c r="M26" s="12" t="s">
        <v>24</v>
      </c>
      <c r="N26" s="12" t="s">
        <v>24</v>
      </c>
      <c r="O26" s="12" t="s">
        <v>24</v>
      </c>
      <c r="P26" s="12" t="s">
        <v>24</v>
      </c>
      <c r="Q26" s="12" t="s">
        <v>24</v>
      </c>
      <c r="R26" s="12" t="s">
        <v>24</v>
      </c>
      <c r="S26" s="13" t="s">
        <v>24</v>
      </c>
      <c r="T26" s="12" t="s">
        <v>24</v>
      </c>
      <c r="U26" s="12" t="s">
        <v>24</v>
      </c>
      <c r="V26" s="12" t="s">
        <v>24</v>
      </c>
      <c r="W26" s="12" t="s">
        <v>24</v>
      </c>
      <c r="X26" s="12" t="s">
        <v>24</v>
      </c>
      <c r="Y26" s="12" t="s">
        <v>24</v>
      </c>
      <c r="Z26" s="12" t="s">
        <v>24</v>
      </c>
      <c r="AA26" s="12" t="s">
        <v>24</v>
      </c>
      <c r="AB26" s="12" t="s">
        <v>24</v>
      </c>
      <c r="AC26" s="12" t="s">
        <v>24</v>
      </c>
      <c r="AD26" s="12" t="s">
        <v>24</v>
      </c>
      <c r="AE26" s="12" t="s">
        <v>24</v>
      </c>
      <c r="AF26" s="12" t="s">
        <v>24</v>
      </c>
      <c r="AG26" s="12" t="s">
        <v>24</v>
      </c>
      <c r="AH26" s="12" t="s">
        <v>24</v>
      </c>
      <c r="AI26" s="12" t="s">
        <v>24</v>
      </c>
      <c r="AJ26" s="12" t="s">
        <v>24</v>
      </c>
      <c r="AK26" s="13" t="s">
        <v>24</v>
      </c>
      <c r="AL26" s="12" t="s">
        <v>24</v>
      </c>
      <c r="AM26" s="12" t="s">
        <v>24</v>
      </c>
      <c r="AN26" s="12" t="s">
        <v>24</v>
      </c>
      <c r="AO26" s="12" t="s">
        <v>24</v>
      </c>
      <c r="AP26" s="12" t="s">
        <v>24</v>
      </c>
      <c r="AQ26" s="12" t="s">
        <v>24</v>
      </c>
      <c r="AR26" s="12" t="s">
        <v>24</v>
      </c>
      <c r="AS26" s="12" t="s">
        <v>24</v>
      </c>
      <c r="AT26" s="12" t="s">
        <v>24</v>
      </c>
      <c r="AU26" s="12" t="s">
        <v>24</v>
      </c>
      <c r="AV26" s="12" t="s">
        <v>24</v>
      </c>
      <c r="AW26" s="12" t="s">
        <v>24</v>
      </c>
      <c r="AX26" s="12" t="s">
        <v>24</v>
      </c>
      <c r="AY26" s="12" t="s">
        <v>24</v>
      </c>
      <c r="AZ26" s="12" t="s">
        <v>24</v>
      </c>
      <c r="BA26" s="12" t="s">
        <v>24</v>
      </c>
      <c r="BB26" s="12" t="s">
        <v>24</v>
      </c>
      <c r="BC26" s="12" t="s">
        <v>24</v>
      </c>
      <c r="BD26" s="12" t="s">
        <v>24</v>
      </c>
      <c r="BE26" s="13" t="s">
        <v>24</v>
      </c>
      <c r="BF26" s="12" t="s">
        <v>24</v>
      </c>
      <c r="BG26" s="12" t="s">
        <v>24</v>
      </c>
      <c r="BH26" s="12" t="s">
        <v>24</v>
      </c>
      <c r="BI26" s="12" t="s">
        <v>24</v>
      </c>
      <c r="BJ26" s="12" t="s">
        <v>24</v>
      </c>
      <c r="BK26" s="12" t="s">
        <v>24</v>
      </c>
      <c r="BL26" s="12" t="s">
        <v>24</v>
      </c>
      <c r="BM26" s="12" t="s">
        <v>24</v>
      </c>
      <c r="BN26" s="12" t="s">
        <v>24</v>
      </c>
      <c r="BO26" s="12" t="s">
        <v>24</v>
      </c>
      <c r="BP26" s="12" t="s">
        <v>24</v>
      </c>
      <c r="BQ26" s="12" t="s">
        <v>24</v>
      </c>
      <c r="BR26" s="12" t="s">
        <v>24</v>
      </c>
      <c r="BS26" s="12" t="s">
        <v>24</v>
      </c>
      <c r="BT26" s="12" t="s">
        <v>24</v>
      </c>
      <c r="BU26" s="12" t="s">
        <v>24</v>
      </c>
      <c r="BV26" s="17">
        <f t="shared" si="0"/>
        <v>0</v>
      </c>
      <c r="BW26" s="17" cm="1">
        <f t="array" ref="BW26">SUM(COUNTIF(D26:BU26,{"A";"AT"}))</f>
        <v>70</v>
      </c>
      <c r="BX26" s="17">
        <f t="shared" si="1"/>
        <v>0</v>
      </c>
      <c r="BY26" s="17">
        <f t="shared" si="2"/>
        <v>0</v>
      </c>
      <c r="BZ26" s="18">
        <f t="shared" si="3"/>
        <v>70</v>
      </c>
      <c r="CA26" s="33">
        <f>+BV26+'2DO TRIMESTRE'!BM26+'1ER TRIMESTRE'!BU26</f>
        <v>0</v>
      </c>
      <c r="CB26" s="18">
        <f>+BW26+'2DO TRIMESTRE'!BN26+'1ER TRIMESTRE'!BV26</f>
        <v>200</v>
      </c>
      <c r="CC26" s="33">
        <f>+BX26+'2DO TRIMESTRE'!BO26+'1ER TRIMESTRE'!BW26</f>
        <v>0</v>
      </c>
      <c r="CD26" s="33">
        <f>+BY26+'2DO TRIMESTRE'!BP26+'1ER TRIMESTRE'!BX26</f>
        <v>0</v>
      </c>
      <c r="CE26" s="18">
        <f>BZ26+'2DO TRIMESTRE'!BQ26+'1ER TRIMESTRE'!BY26</f>
        <v>200</v>
      </c>
    </row>
    <row r="27" spans="1:83" ht="20.25" customHeight="1" thickBot="1" x14ac:dyDescent="0.25">
      <c r="A27" s="1">
        <v>17</v>
      </c>
      <c r="B27" s="94">
        <f>+'1ER TRIMESTRE'!B27</f>
        <v>0</v>
      </c>
      <c r="C27" s="95"/>
      <c r="D27" s="11" t="s">
        <v>24</v>
      </c>
      <c r="E27" s="12" t="s">
        <v>24</v>
      </c>
      <c r="F27" s="12" t="s">
        <v>24</v>
      </c>
      <c r="G27" s="12" t="s">
        <v>24</v>
      </c>
      <c r="H27" s="12" t="s">
        <v>24</v>
      </c>
      <c r="I27" s="12" t="s">
        <v>24</v>
      </c>
      <c r="J27" s="12" t="s">
        <v>24</v>
      </c>
      <c r="K27" s="12" t="s">
        <v>24</v>
      </c>
      <c r="L27" s="12" t="s">
        <v>24</v>
      </c>
      <c r="M27" s="12" t="s">
        <v>24</v>
      </c>
      <c r="N27" s="12" t="s">
        <v>24</v>
      </c>
      <c r="O27" s="12" t="s">
        <v>24</v>
      </c>
      <c r="P27" s="12" t="s">
        <v>24</v>
      </c>
      <c r="Q27" s="12" t="s">
        <v>24</v>
      </c>
      <c r="R27" s="12" t="s">
        <v>24</v>
      </c>
      <c r="S27" s="13" t="s">
        <v>24</v>
      </c>
      <c r="T27" s="12" t="s">
        <v>24</v>
      </c>
      <c r="U27" s="12" t="s">
        <v>24</v>
      </c>
      <c r="V27" s="12" t="s">
        <v>24</v>
      </c>
      <c r="W27" s="12" t="s">
        <v>24</v>
      </c>
      <c r="X27" s="12" t="s">
        <v>24</v>
      </c>
      <c r="Y27" s="12" t="s">
        <v>24</v>
      </c>
      <c r="Z27" s="12" t="s">
        <v>24</v>
      </c>
      <c r="AA27" s="12" t="s">
        <v>24</v>
      </c>
      <c r="AB27" s="12" t="s">
        <v>24</v>
      </c>
      <c r="AC27" s="12" t="s">
        <v>24</v>
      </c>
      <c r="AD27" s="12" t="s">
        <v>24</v>
      </c>
      <c r="AE27" s="12" t="s">
        <v>24</v>
      </c>
      <c r="AF27" s="12" t="s">
        <v>24</v>
      </c>
      <c r="AG27" s="12" t="s">
        <v>24</v>
      </c>
      <c r="AH27" s="12" t="s">
        <v>24</v>
      </c>
      <c r="AI27" s="12" t="s">
        <v>24</v>
      </c>
      <c r="AJ27" s="12" t="s">
        <v>24</v>
      </c>
      <c r="AK27" s="13" t="s">
        <v>24</v>
      </c>
      <c r="AL27" s="12" t="s">
        <v>24</v>
      </c>
      <c r="AM27" s="12" t="s">
        <v>24</v>
      </c>
      <c r="AN27" s="12" t="s">
        <v>24</v>
      </c>
      <c r="AO27" s="12" t="s">
        <v>24</v>
      </c>
      <c r="AP27" s="12" t="s">
        <v>24</v>
      </c>
      <c r="AQ27" s="12" t="s">
        <v>24</v>
      </c>
      <c r="AR27" s="12" t="s">
        <v>24</v>
      </c>
      <c r="AS27" s="12" t="s">
        <v>24</v>
      </c>
      <c r="AT27" s="12" t="s">
        <v>24</v>
      </c>
      <c r="AU27" s="12" t="s">
        <v>24</v>
      </c>
      <c r="AV27" s="12" t="s">
        <v>24</v>
      </c>
      <c r="AW27" s="12" t="s">
        <v>24</v>
      </c>
      <c r="AX27" s="12" t="s">
        <v>24</v>
      </c>
      <c r="AY27" s="12" t="s">
        <v>24</v>
      </c>
      <c r="AZ27" s="12" t="s">
        <v>24</v>
      </c>
      <c r="BA27" s="12" t="s">
        <v>24</v>
      </c>
      <c r="BB27" s="12" t="s">
        <v>24</v>
      </c>
      <c r="BC27" s="12" t="s">
        <v>24</v>
      </c>
      <c r="BD27" s="12" t="s">
        <v>24</v>
      </c>
      <c r="BE27" s="13" t="s">
        <v>24</v>
      </c>
      <c r="BF27" s="12" t="s">
        <v>24</v>
      </c>
      <c r="BG27" s="12" t="s">
        <v>24</v>
      </c>
      <c r="BH27" s="12" t="s">
        <v>24</v>
      </c>
      <c r="BI27" s="12" t="s">
        <v>24</v>
      </c>
      <c r="BJ27" s="12" t="s">
        <v>24</v>
      </c>
      <c r="BK27" s="12" t="s">
        <v>24</v>
      </c>
      <c r="BL27" s="12" t="s">
        <v>24</v>
      </c>
      <c r="BM27" s="12" t="s">
        <v>24</v>
      </c>
      <c r="BN27" s="12" t="s">
        <v>24</v>
      </c>
      <c r="BO27" s="12" t="s">
        <v>24</v>
      </c>
      <c r="BP27" s="12" t="s">
        <v>24</v>
      </c>
      <c r="BQ27" s="12" t="s">
        <v>24</v>
      </c>
      <c r="BR27" s="12" t="s">
        <v>24</v>
      </c>
      <c r="BS27" s="12" t="s">
        <v>24</v>
      </c>
      <c r="BT27" s="12" t="s">
        <v>24</v>
      </c>
      <c r="BU27" s="12" t="s">
        <v>24</v>
      </c>
      <c r="BV27" s="17">
        <f t="shared" si="0"/>
        <v>0</v>
      </c>
      <c r="BW27" s="17" cm="1">
        <f t="array" ref="BW27">SUM(COUNTIF(D27:BU27,{"A";"AT"}))</f>
        <v>70</v>
      </c>
      <c r="BX27" s="17">
        <f t="shared" si="1"/>
        <v>0</v>
      </c>
      <c r="BY27" s="17">
        <f t="shared" si="2"/>
        <v>0</v>
      </c>
      <c r="BZ27" s="18">
        <f t="shared" si="3"/>
        <v>70</v>
      </c>
      <c r="CA27" s="33">
        <f>+BV27+'2DO TRIMESTRE'!BM27+'1ER TRIMESTRE'!BU27</f>
        <v>0</v>
      </c>
      <c r="CB27" s="18">
        <f>+BW27+'2DO TRIMESTRE'!BN27+'1ER TRIMESTRE'!BV27</f>
        <v>200</v>
      </c>
      <c r="CC27" s="33">
        <f>+BX27+'2DO TRIMESTRE'!BO27+'1ER TRIMESTRE'!BW27</f>
        <v>0</v>
      </c>
      <c r="CD27" s="33">
        <f>+BY27+'2DO TRIMESTRE'!BP27+'1ER TRIMESTRE'!BX27</f>
        <v>0</v>
      </c>
      <c r="CE27" s="18">
        <f>BZ27+'2DO TRIMESTRE'!BQ27+'1ER TRIMESTRE'!BY27</f>
        <v>200</v>
      </c>
    </row>
    <row r="28" spans="1:83" ht="20.25" customHeight="1" thickBot="1" x14ac:dyDescent="0.25">
      <c r="A28" s="1">
        <v>18</v>
      </c>
      <c r="B28" s="94">
        <f>+'1ER TRIMESTRE'!B28</f>
        <v>0</v>
      </c>
      <c r="C28" s="95"/>
      <c r="D28" s="11" t="s">
        <v>24</v>
      </c>
      <c r="E28" s="12" t="s">
        <v>24</v>
      </c>
      <c r="F28" s="12" t="s">
        <v>24</v>
      </c>
      <c r="G28" s="12" t="s">
        <v>24</v>
      </c>
      <c r="H28" s="12" t="s">
        <v>24</v>
      </c>
      <c r="I28" s="12" t="s">
        <v>24</v>
      </c>
      <c r="J28" s="12" t="s">
        <v>24</v>
      </c>
      <c r="K28" s="12" t="s">
        <v>24</v>
      </c>
      <c r="L28" s="12" t="s">
        <v>24</v>
      </c>
      <c r="M28" s="12" t="s">
        <v>24</v>
      </c>
      <c r="N28" s="12" t="s">
        <v>24</v>
      </c>
      <c r="O28" s="12" t="s">
        <v>24</v>
      </c>
      <c r="P28" s="12" t="s">
        <v>24</v>
      </c>
      <c r="Q28" s="12" t="s">
        <v>24</v>
      </c>
      <c r="R28" s="12" t="s">
        <v>24</v>
      </c>
      <c r="S28" s="13" t="s">
        <v>24</v>
      </c>
      <c r="T28" s="12" t="s">
        <v>24</v>
      </c>
      <c r="U28" s="12" t="s">
        <v>24</v>
      </c>
      <c r="V28" s="12" t="s">
        <v>24</v>
      </c>
      <c r="W28" s="12" t="s">
        <v>24</v>
      </c>
      <c r="X28" s="12" t="s">
        <v>24</v>
      </c>
      <c r="Y28" s="12" t="s">
        <v>24</v>
      </c>
      <c r="Z28" s="12" t="s">
        <v>24</v>
      </c>
      <c r="AA28" s="12" t="s">
        <v>24</v>
      </c>
      <c r="AB28" s="12" t="s">
        <v>24</v>
      </c>
      <c r="AC28" s="12" t="s">
        <v>24</v>
      </c>
      <c r="AD28" s="12" t="s">
        <v>24</v>
      </c>
      <c r="AE28" s="12" t="s">
        <v>24</v>
      </c>
      <c r="AF28" s="12" t="s">
        <v>24</v>
      </c>
      <c r="AG28" s="12" t="s">
        <v>24</v>
      </c>
      <c r="AH28" s="12" t="s">
        <v>24</v>
      </c>
      <c r="AI28" s="12" t="s">
        <v>24</v>
      </c>
      <c r="AJ28" s="12" t="s">
        <v>24</v>
      </c>
      <c r="AK28" s="13" t="s">
        <v>24</v>
      </c>
      <c r="AL28" s="12" t="s">
        <v>24</v>
      </c>
      <c r="AM28" s="12" t="s">
        <v>24</v>
      </c>
      <c r="AN28" s="12" t="s">
        <v>24</v>
      </c>
      <c r="AO28" s="12" t="s">
        <v>24</v>
      </c>
      <c r="AP28" s="12" t="s">
        <v>24</v>
      </c>
      <c r="AQ28" s="12" t="s">
        <v>24</v>
      </c>
      <c r="AR28" s="12" t="s">
        <v>24</v>
      </c>
      <c r="AS28" s="12" t="s">
        <v>24</v>
      </c>
      <c r="AT28" s="12" t="s">
        <v>24</v>
      </c>
      <c r="AU28" s="12" t="s">
        <v>24</v>
      </c>
      <c r="AV28" s="12" t="s">
        <v>24</v>
      </c>
      <c r="AW28" s="12" t="s">
        <v>24</v>
      </c>
      <c r="AX28" s="12" t="s">
        <v>24</v>
      </c>
      <c r="AY28" s="12" t="s">
        <v>24</v>
      </c>
      <c r="AZ28" s="12" t="s">
        <v>24</v>
      </c>
      <c r="BA28" s="12" t="s">
        <v>24</v>
      </c>
      <c r="BB28" s="12" t="s">
        <v>24</v>
      </c>
      <c r="BC28" s="12" t="s">
        <v>24</v>
      </c>
      <c r="BD28" s="12" t="s">
        <v>24</v>
      </c>
      <c r="BE28" s="13" t="s">
        <v>24</v>
      </c>
      <c r="BF28" s="12" t="s">
        <v>24</v>
      </c>
      <c r="BG28" s="12" t="s">
        <v>24</v>
      </c>
      <c r="BH28" s="12" t="s">
        <v>24</v>
      </c>
      <c r="BI28" s="12" t="s">
        <v>24</v>
      </c>
      <c r="BJ28" s="12" t="s">
        <v>24</v>
      </c>
      <c r="BK28" s="12" t="s">
        <v>24</v>
      </c>
      <c r="BL28" s="12" t="s">
        <v>24</v>
      </c>
      <c r="BM28" s="12" t="s">
        <v>24</v>
      </c>
      <c r="BN28" s="12" t="s">
        <v>24</v>
      </c>
      <c r="BO28" s="12" t="s">
        <v>24</v>
      </c>
      <c r="BP28" s="12" t="s">
        <v>24</v>
      </c>
      <c r="BQ28" s="12" t="s">
        <v>24</v>
      </c>
      <c r="BR28" s="12" t="s">
        <v>24</v>
      </c>
      <c r="BS28" s="12" t="s">
        <v>24</v>
      </c>
      <c r="BT28" s="12" t="s">
        <v>24</v>
      </c>
      <c r="BU28" s="12" t="s">
        <v>24</v>
      </c>
      <c r="BV28" s="17">
        <f t="shared" si="0"/>
        <v>0</v>
      </c>
      <c r="BW28" s="17" cm="1">
        <f t="array" ref="BW28">SUM(COUNTIF(D28:BU28,{"A";"AT"}))</f>
        <v>70</v>
      </c>
      <c r="BX28" s="17">
        <f t="shared" si="1"/>
        <v>0</v>
      </c>
      <c r="BY28" s="17">
        <f t="shared" si="2"/>
        <v>0</v>
      </c>
      <c r="BZ28" s="18">
        <f t="shared" si="3"/>
        <v>70</v>
      </c>
      <c r="CA28" s="33">
        <f>+BV28+'2DO TRIMESTRE'!BM28+'1ER TRIMESTRE'!BU28</f>
        <v>0</v>
      </c>
      <c r="CB28" s="18">
        <f>+BW28+'2DO TRIMESTRE'!BN28+'1ER TRIMESTRE'!BV28</f>
        <v>200</v>
      </c>
      <c r="CC28" s="33">
        <f>+BX28+'2DO TRIMESTRE'!BO28+'1ER TRIMESTRE'!BW28</f>
        <v>0</v>
      </c>
      <c r="CD28" s="33">
        <f>+BY28+'2DO TRIMESTRE'!BP28+'1ER TRIMESTRE'!BX28</f>
        <v>0</v>
      </c>
      <c r="CE28" s="18">
        <f>BZ28+'2DO TRIMESTRE'!BQ28+'1ER TRIMESTRE'!BY28</f>
        <v>200</v>
      </c>
    </row>
    <row r="29" spans="1:83" ht="20.25" customHeight="1" thickBot="1" x14ac:dyDescent="0.25">
      <c r="A29" s="1">
        <v>19</v>
      </c>
      <c r="B29" s="94">
        <f>+'1ER TRIMESTRE'!B29</f>
        <v>0</v>
      </c>
      <c r="C29" s="95"/>
      <c r="D29" s="11" t="s">
        <v>24</v>
      </c>
      <c r="E29" s="12" t="s">
        <v>24</v>
      </c>
      <c r="F29" s="12" t="s">
        <v>24</v>
      </c>
      <c r="G29" s="12" t="s">
        <v>24</v>
      </c>
      <c r="H29" s="12" t="s">
        <v>24</v>
      </c>
      <c r="I29" s="12" t="s">
        <v>24</v>
      </c>
      <c r="J29" s="12" t="s">
        <v>24</v>
      </c>
      <c r="K29" s="12" t="s">
        <v>24</v>
      </c>
      <c r="L29" s="12" t="s">
        <v>24</v>
      </c>
      <c r="M29" s="12" t="s">
        <v>24</v>
      </c>
      <c r="N29" s="12" t="s">
        <v>24</v>
      </c>
      <c r="O29" s="12" t="s">
        <v>24</v>
      </c>
      <c r="P29" s="12" t="s">
        <v>24</v>
      </c>
      <c r="Q29" s="12" t="s">
        <v>24</v>
      </c>
      <c r="R29" s="12" t="s">
        <v>24</v>
      </c>
      <c r="S29" s="13" t="s">
        <v>24</v>
      </c>
      <c r="T29" s="12" t="s">
        <v>24</v>
      </c>
      <c r="U29" s="12" t="s">
        <v>24</v>
      </c>
      <c r="V29" s="12" t="s">
        <v>24</v>
      </c>
      <c r="W29" s="12" t="s">
        <v>24</v>
      </c>
      <c r="X29" s="12" t="s">
        <v>24</v>
      </c>
      <c r="Y29" s="12" t="s">
        <v>24</v>
      </c>
      <c r="Z29" s="12" t="s">
        <v>24</v>
      </c>
      <c r="AA29" s="12" t="s">
        <v>24</v>
      </c>
      <c r="AB29" s="12" t="s">
        <v>24</v>
      </c>
      <c r="AC29" s="12" t="s">
        <v>24</v>
      </c>
      <c r="AD29" s="12" t="s">
        <v>24</v>
      </c>
      <c r="AE29" s="12" t="s">
        <v>24</v>
      </c>
      <c r="AF29" s="12" t="s">
        <v>24</v>
      </c>
      <c r="AG29" s="12" t="s">
        <v>24</v>
      </c>
      <c r="AH29" s="12" t="s">
        <v>24</v>
      </c>
      <c r="AI29" s="12" t="s">
        <v>24</v>
      </c>
      <c r="AJ29" s="12" t="s">
        <v>24</v>
      </c>
      <c r="AK29" s="13" t="s">
        <v>24</v>
      </c>
      <c r="AL29" s="12" t="s">
        <v>24</v>
      </c>
      <c r="AM29" s="12" t="s">
        <v>24</v>
      </c>
      <c r="AN29" s="12" t="s">
        <v>24</v>
      </c>
      <c r="AO29" s="12" t="s">
        <v>24</v>
      </c>
      <c r="AP29" s="12" t="s">
        <v>24</v>
      </c>
      <c r="AQ29" s="12" t="s">
        <v>24</v>
      </c>
      <c r="AR29" s="12" t="s">
        <v>24</v>
      </c>
      <c r="AS29" s="12" t="s">
        <v>24</v>
      </c>
      <c r="AT29" s="12" t="s">
        <v>24</v>
      </c>
      <c r="AU29" s="12" t="s">
        <v>24</v>
      </c>
      <c r="AV29" s="12" t="s">
        <v>24</v>
      </c>
      <c r="AW29" s="12" t="s">
        <v>24</v>
      </c>
      <c r="AX29" s="12" t="s">
        <v>24</v>
      </c>
      <c r="AY29" s="12" t="s">
        <v>24</v>
      </c>
      <c r="AZ29" s="12" t="s">
        <v>24</v>
      </c>
      <c r="BA29" s="12" t="s">
        <v>24</v>
      </c>
      <c r="BB29" s="12" t="s">
        <v>24</v>
      </c>
      <c r="BC29" s="12" t="s">
        <v>24</v>
      </c>
      <c r="BD29" s="12" t="s">
        <v>24</v>
      </c>
      <c r="BE29" s="13" t="s">
        <v>24</v>
      </c>
      <c r="BF29" s="12" t="s">
        <v>24</v>
      </c>
      <c r="BG29" s="12" t="s">
        <v>24</v>
      </c>
      <c r="BH29" s="12" t="s">
        <v>24</v>
      </c>
      <c r="BI29" s="12" t="s">
        <v>24</v>
      </c>
      <c r="BJ29" s="12" t="s">
        <v>24</v>
      </c>
      <c r="BK29" s="12" t="s">
        <v>24</v>
      </c>
      <c r="BL29" s="12" t="s">
        <v>24</v>
      </c>
      <c r="BM29" s="12" t="s">
        <v>24</v>
      </c>
      <c r="BN29" s="12" t="s">
        <v>24</v>
      </c>
      <c r="BO29" s="12" t="s">
        <v>24</v>
      </c>
      <c r="BP29" s="12" t="s">
        <v>24</v>
      </c>
      <c r="BQ29" s="12" t="s">
        <v>24</v>
      </c>
      <c r="BR29" s="12" t="s">
        <v>24</v>
      </c>
      <c r="BS29" s="12" t="s">
        <v>24</v>
      </c>
      <c r="BT29" s="12" t="s">
        <v>24</v>
      </c>
      <c r="BU29" s="12" t="s">
        <v>24</v>
      </c>
      <c r="BV29" s="17">
        <f t="shared" si="0"/>
        <v>0</v>
      </c>
      <c r="BW29" s="17" cm="1">
        <f t="array" ref="BW29">SUM(COUNTIF(D29:BU29,{"A";"AT"}))</f>
        <v>70</v>
      </c>
      <c r="BX29" s="17">
        <f t="shared" si="1"/>
        <v>0</v>
      </c>
      <c r="BY29" s="17">
        <f t="shared" si="2"/>
        <v>0</v>
      </c>
      <c r="BZ29" s="18">
        <f t="shared" si="3"/>
        <v>70</v>
      </c>
      <c r="CA29" s="33">
        <f>+BV29+'2DO TRIMESTRE'!BM29+'1ER TRIMESTRE'!BU29</f>
        <v>0</v>
      </c>
      <c r="CB29" s="18">
        <f>+BW29+'2DO TRIMESTRE'!BN29+'1ER TRIMESTRE'!BV29</f>
        <v>200</v>
      </c>
      <c r="CC29" s="33">
        <f>+BX29+'2DO TRIMESTRE'!BO29+'1ER TRIMESTRE'!BW29</f>
        <v>0</v>
      </c>
      <c r="CD29" s="33">
        <f>+BY29+'2DO TRIMESTRE'!BP29+'1ER TRIMESTRE'!BX29</f>
        <v>0</v>
      </c>
      <c r="CE29" s="18">
        <f>BZ29+'2DO TRIMESTRE'!BQ29+'1ER TRIMESTRE'!BY29</f>
        <v>200</v>
      </c>
    </row>
    <row r="30" spans="1:83" ht="20.25" customHeight="1" thickBot="1" x14ac:dyDescent="0.25">
      <c r="A30" s="1">
        <v>20</v>
      </c>
      <c r="B30" s="94">
        <f>+'1ER TRIMESTRE'!B30</f>
        <v>0</v>
      </c>
      <c r="C30" s="95"/>
      <c r="D30" s="11" t="s">
        <v>24</v>
      </c>
      <c r="E30" s="12" t="s">
        <v>24</v>
      </c>
      <c r="F30" s="12" t="s">
        <v>24</v>
      </c>
      <c r="G30" s="12" t="s">
        <v>24</v>
      </c>
      <c r="H30" s="12" t="s">
        <v>24</v>
      </c>
      <c r="I30" s="12" t="s">
        <v>24</v>
      </c>
      <c r="J30" s="12" t="s">
        <v>24</v>
      </c>
      <c r="K30" s="12" t="s">
        <v>24</v>
      </c>
      <c r="L30" s="12" t="s">
        <v>24</v>
      </c>
      <c r="M30" s="12" t="s">
        <v>24</v>
      </c>
      <c r="N30" s="12" t="s">
        <v>24</v>
      </c>
      <c r="O30" s="12" t="s">
        <v>24</v>
      </c>
      <c r="P30" s="12" t="s">
        <v>24</v>
      </c>
      <c r="Q30" s="12" t="s">
        <v>24</v>
      </c>
      <c r="R30" s="12" t="s">
        <v>24</v>
      </c>
      <c r="S30" s="13" t="s">
        <v>24</v>
      </c>
      <c r="T30" s="12" t="s">
        <v>24</v>
      </c>
      <c r="U30" s="12" t="s">
        <v>24</v>
      </c>
      <c r="V30" s="12" t="s">
        <v>24</v>
      </c>
      <c r="W30" s="12" t="s">
        <v>24</v>
      </c>
      <c r="X30" s="12" t="s">
        <v>24</v>
      </c>
      <c r="Y30" s="12" t="s">
        <v>24</v>
      </c>
      <c r="Z30" s="12" t="s">
        <v>24</v>
      </c>
      <c r="AA30" s="12" t="s">
        <v>24</v>
      </c>
      <c r="AB30" s="12" t="s">
        <v>24</v>
      </c>
      <c r="AC30" s="12" t="s">
        <v>24</v>
      </c>
      <c r="AD30" s="12" t="s">
        <v>24</v>
      </c>
      <c r="AE30" s="12" t="s">
        <v>24</v>
      </c>
      <c r="AF30" s="12" t="s">
        <v>24</v>
      </c>
      <c r="AG30" s="12" t="s">
        <v>24</v>
      </c>
      <c r="AH30" s="12" t="s">
        <v>24</v>
      </c>
      <c r="AI30" s="12" t="s">
        <v>24</v>
      </c>
      <c r="AJ30" s="12" t="s">
        <v>24</v>
      </c>
      <c r="AK30" s="13" t="s">
        <v>24</v>
      </c>
      <c r="AL30" s="12" t="s">
        <v>24</v>
      </c>
      <c r="AM30" s="12" t="s">
        <v>24</v>
      </c>
      <c r="AN30" s="12" t="s">
        <v>24</v>
      </c>
      <c r="AO30" s="12" t="s">
        <v>24</v>
      </c>
      <c r="AP30" s="12" t="s">
        <v>24</v>
      </c>
      <c r="AQ30" s="12" t="s">
        <v>24</v>
      </c>
      <c r="AR30" s="12" t="s">
        <v>24</v>
      </c>
      <c r="AS30" s="12" t="s">
        <v>24</v>
      </c>
      <c r="AT30" s="12" t="s">
        <v>24</v>
      </c>
      <c r="AU30" s="12" t="s">
        <v>24</v>
      </c>
      <c r="AV30" s="12" t="s">
        <v>24</v>
      </c>
      <c r="AW30" s="12" t="s">
        <v>24</v>
      </c>
      <c r="AX30" s="12" t="s">
        <v>24</v>
      </c>
      <c r="AY30" s="12" t="s">
        <v>24</v>
      </c>
      <c r="AZ30" s="12" t="s">
        <v>24</v>
      </c>
      <c r="BA30" s="12" t="s">
        <v>24</v>
      </c>
      <c r="BB30" s="12" t="s">
        <v>24</v>
      </c>
      <c r="BC30" s="12" t="s">
        <v>24</v>
      </c>
      <c r="BD30" s="12" t="s">
        <v>24</v>
      </c>
      <c r="BE30" s="13" t="s">
        <v>24</v>
      </c>
      <c r="BF30" s="12" t="s">
        <v>24</v>
      </c>
      <c r="BG30" s="12" t="s">
        <v>24</v>
      </c>
      <c r="BH30" s="12" t="s">
        <v>24</v>
      </c>
      <c r="BI30" s="12" t="s">
        <v>24</v>
      </c>
      <c r="BJ30" s="12" t="s">
        <v>24</v>
      </c>
      <c r="BK30" s="12" t="s">
        <v>24</v>
      </c>
      <c r="BL30" s="12" t="s">
        <v>24</v>
      </c>
      <c r="BM30" s="12" t="s">
        <v>24</v>
      </c>
      <c r="BN30" s="12" t="s">
        <v>24</v>
      </c>
      <c r="BO30" s="12" t="s">
        <v>24</v>
      </c>
      <c r="BP30" s="12" t="s">
        <v>24</v>
      </c>
      <c r="BQ30" s="12" t="s">
        <v>24</v>
      </c>
      <c r="BR30" s="12" t="s">
        <v>24</v>
      </c>
      <c r="BS30" s="12" t="s">
        <v>24</v>
      </c>
      <c r="BT30" s="12" t="s">
        <v>24</v>
      </c>
      <c r="BU30" s="12" t="s">
        <v>24</v>
      </c>
      <c r="BV30" s="17">
        <f t="shared" si="0"/>
        <v>0</v>
      </c>
      <c r="BW30" s="17" cm="1">
        <f t="array" ref="BW30">SUM(COUNTIF(D30:BU30,{"A";"AT"}))</f>
        <v>70</v>
      </c>
      <c r="BX30" s="17">
        <f t="shared" si="1"/>
        <v>0</v>
      </c>
      <c r="BY30" s="17">
        <f t="shared" si="2"/>
        <v>0</v>
      </c>
      <c r="BZ30" s="18">
        <f t="shared" si="3"/>
        <v>70</v>
      </c>
      <c r="CA30" s="33">
        <f>+BV30+'2DO TRIMESTRE'!BM30+'1ER TRIMESTRE'!BU30</f>
        <v>0</v>
      </c>
      <c r="CB30" s="18">
        <f>+BW30+'2DO TRIMESTRE'!BN30+'1ER TRIMESTRE'!BV30</f>
        <v>200</v>
      </c>
      <c r="CC30" s="33">
        <f>+BX30+'2DO TRIMESTRE'!BO30+'1ER TRIMESTRE'!BW30</f>
        <v>0</v>
      </c>
      <c r="CD30" s="33">
        <f>+BY30+'2DO TRIMESTRE'!BP30+'1ER TRIMESTRE'!BX30</f>
        <v>0</v>
      </c>
      <c r="CE30" s="18">
        <f>BZ30+'2DO TRIMESTRE'!BQ30+'1ER TRIMESTRE'!BY30</f>
        <v>200</v>
      </c>
    </row>
    <row r="31" spans="1:83" ht="20.25" customHeight="1" thickBot="1" x14ac:dyDescent="0.25">
      <c r="A31" s="1">
        <v>21</v>
      </c>
      <c r="B31" s="94">
        <f>+'1ER TRIMESTRE'!B31</f>
        <v>0</v>
      </c>
      <c r="C31" s="95"/>
      <c r="D31" s="11" t="s">
        <v>24</v>
      </c>
      <c r="E31" s="12" t="s">
        <v>24</v>
      </c>
      <c r="F31" s="12" t="s">
        <v>24</v>
      </c>
      <c r="G31" s="12" t="s">
        <v>24</v>
      </c>
      <c r="H31" s="12" t="s">
        <v>24</v>
      </c>
      <c r="I31" s="12" t="s">
        <v>24</v>
      </c>
      <c r="J31" s="12" t="s">
        <v>24</v>
      </c>
      <c r="K31" s="12" t="s">
        <v>24</v>
      </c>
      <c r="L31" s="12" t="s">
        <v>24</v>
      </c>
      <c r="M31" s="12" t="s">
        <v>24</v>
      </c>
      <c r="N31" s="12" t="s">
        <v>24</v>
      </c>
      <c r="O31" s="12" t="s">
        <v>24</v>
      </c>
      <c r="P31" s="12" t="s">
        <v>24</v>
      </c>
      <c r="Q31" s="12" t="s">
        <v>24</v>
      </c>
      <c r="R31" s="12" t="s">
        <v>24</v>
      </c>
      <c r="S31" s="13" t="s">
        <v>24</v>
      </c>
      <c r="T31" s="12" t="s">
        <v>24</v>
      </c>
      <c r="U31" s="12" t="s">
        <v>24</v>
      </c>
      <c r="V31" s="12" t="s">
        <v>24</v>
      </c>
      <c r="W31" s="12" t="s">
        <v>24</v>
      </c>
      <c r="X31" s="12" t="s">
        <v>24</v>
      </c>
      <c r="Y31" s="12" t="s">
        <v>24</v>
      </c>
      <c r="Z31" s="12" t="s">
        <v>24</v>
      </c>
      <c r="AA31" s="12" t="s">
        <v>24</v>
      </c>
      <c r="AB31" s="12" t="s">
        <v>24</v>
      </c>
      <c r="AC31" s="12" t="s">
        <v>24</v>
      </c>
      <c r="AD31" s="12" t="s">
        <v>24</v>
      </c>
      <c r="AE31" s="12" t="s">
        <v>24</v>
      </c>
      <c r="AF31" s="12" t="s">
        <v>24</v>
      </c>
      <c r="AG31" s="12" t="s">
        <v>24</v>
      </c>
      <c r="AH31" s="12" t="s">
        <v>24</v>
      </c>
      <c r="AI31" s="12" t="s">
        <v>24</v>
      </c>
      <c r="AJ31" s="12" t="s">
        <v>24</v>
      </c>
      <c r="AK31" s="13" t="s">
        <v>24</v>
      </c>
      <c r="AL31" s="12" t="s">
        <v>24</v>
      </c>
      <c r="AM31" s="12" t="s">
        <v>24</v>
      </c>
      <c r="AN31" s="12" t="s">
        <v>24</v>
      </c>
      <c r="AO31" s="12" t="s">
        <v>24</v>
      </c>
      <c r="AP31" s="12" t="s">
        <v>24</v>
      </c>
      <c r="AQ31" s="12" t="s">
        <v>24</v>
      </c>
      <c r="AR31" s="12" t="s">
        <v>24</v>
      </c>
      <c r="AS31" s="12" t="s">
        <v>24</v>
      </c>
      <c r="AT31" s="12" t="s">
        <v>24</v>
      </c>
      <c r="AU31" s="12" t="s">
        <v>24</v>
      </c>
      <c r="AV31" s="12" t="s">
        <v>24</v>
      </c>
      <c r="AW31" s="12" t="s">
        <v>24</v>
      </c>
      <c r="AX31" s="12" t="s">
        <v>24</v>
      </c>
      <c r="AY31" s="12" t="s">
        <v>24</v>
      </c>
      <c r="AZ31" s="12" t="s">
        <v>24</v>
      </c>
      <c r="BA31" s="12" t="s">
        <v>24</v>
      </c>
      <c r="BB31" s="12" t="s">
        <v>24</v>
      </c>
      <c r="BC31" s="12" t="s">
        <v>24</v>
      </c>
      <c r="BD31" s="12" t="s">
        <v>24</v>
      </c>
      <c r="BE31" s="13" t="s">
        <v>24</v>
      </c>
      <c r="BF31" s="12" t="s">
        <v>24</v>
      </c>
      <c r="BG31" s="12" t="s">
        <v>24</v>
      </c>
      <c r="BH31" s="12" t="s">
        <v>24</v>
      </c>
      <c r="BI31" s="12" t="s">
        <v>24</v>
      </c>
      <c r="BJ31" s="12" t="s">
        <v>24</v>
      </c>
      <c r="BK31" s="12" t="s">
        <v>24</v>
      </c>
      <c r="BL31" s="12" t="s">
        <v>24</v>
      </c>
      <c r="BM31" s="12" t="s">
        <v>24</v>
      </c>
      <c r="BN31" s="12" t="s">
        <v>24</v>
      </c>
      <c r="BO31" s="12" t="s">
        <v>24</v>
      </c>
      <c r="BP31" s="12" t="s">
        <v>24</v>
      </c>
      <c r="BQ31" s="12" t="s">
        <v>24</v>
      </c>
      <c r="BR31" s="12" t="s">
        <v>24</v>
      </c>
      <c r="BS31" s="12" t="s">
        <v>24</v>
      </c>
      <c r="BT31" s="12" t="s">
        <v>24</v>
      </c>
      <c r="BU31" s="12" t="s">
        <v>24</v>
      </c>
      <c r="BV31" s="17">
        <f t="shared" si="0"/>
        <v>0</v>
      </c>
      <c r="BW31" s="17" cm="1">
        <f t="array" ref="BW31">SUM(COUNTIF(D31:BU31,{"A";"AT"}))</f>
        <v>70</v>
      </c>
      <c r="BX31" s="17">
        <f t="shared" si="1"/>
        <v>0</v>
      </c>
      <c r="BY31" s="17">
        <f t="shared" si="2"/>
        <v>0</v>
      </c>
      <c r="BZ31" s="18">
        <f t="shared" si="3"/>
        <v>70</v>
      </c>
      <c r="CA31" s="33">
        <f>+BV31+'2DO TRIMESTRE'!BM31+'1ER TRIMESTRE'!BU31</f>
        <v>0</v>
      </c>
      <c r="CB31" s="18">
        <f>+BW31+'2DO TRIMESTRE'!BN31+'1ER TRIMESTRE'!BV31</f>
        <v>200</v>
      </c>
      <c r="CC31" s="33">
        <f>+BX31+'2DO TRIMESTRE'!BO31+'1ER TRIMESTRE'!BW31</f>
        <v>0</v>
      </c>
      <c r="CD31" s="33">
        <f>+BY31+'2DO TRIMESTRE'!BP31+'1ER TRIMESTRE'!BX31</f>
        <v>0</v>
      </c>
      <c r="CE31" s="18">
        <f>BZ31+'2DO TRIMESTRE'!BQ31+'1ER TRIMESTRE'!BY31</f>
        <v>200</v>
      </c>
    </row>
    <row r="32" spans="1:83" ht="20.25" customHeight="1" thickBot="1" x14ac:dyDescent="0.25">
      <c r="A32" s="1">
        <v>22</v>
      </c>
      <c r="B32" s="94">
        <f>+'1ER TRIMESTRE'!B32</f>
        <v>0</v>
      </c>
      <c r="C32" s="95"/>
      <c r="D32" s="11" t="s">
        <v>24</v>
      </c>
      <c r="E32" s="12" t="s">
        <v>24</v>
      </c>
      <c r="F32" s="12" t="s">
        <v>24</v>
      </c>
      <c r="G32" s="12" t="s">
        <v>24</v>
      </c>
      <c r="H32" s="12" t="s">
        <v>24</v>
      </c>
      <c r="I32" s="12" t="s">
        <v>24</v>
      </c>
      <c r="J32" s="12" t="s">
        <v>24</v>
      </c>
      <c r="K32" s="12" t="s">
        <v>24</v>
      </c>
      <c r="L32" s="12" t="s">
        <v>24</v>
      </c>
      <c r="M32" s="12" t="s">
        <v>24</v>
      </c>
      <c r="N32" s="12" t="s">
        <v>24</v>
      </c>
      <c r="O32" s="12" t="s">
        <v>24</v>
      </c>
      <c r="P32" s="12" t="s">
        <v>24</v>
      </c>
      <c r="Q32" s="12" t="s">
        <v>24</v>
      </c>
      <c r="R32" s="12" t="s">
        <v>24</v>
      </c>
      <c r="S32" s="13" t="s">
        <v>24</v>
      </c>
      <c r="T32" s="12" t="s">
        <v>24</v>
      </c>
      <c r="U32" s="12" t="s">
        <v>24</v>
      </c>
      <c r="V32" s="12" t="s">
        <v>24</v>
      </c>
      <c r="W32" s="12" t="s">
        <v>24</v>
      </c>
      <c r="X32" s="12" t="s">
        <v>24</v>
      </c>
      <c r="Y32" s="12" t="s">
        <v>24</v>
      </c>
      <c r="Z32" s="12" t="s">
        <v>24</v>
      </c>
      <c r="AA32" s="12" t="s">
        <v>24</v>
      </c>
      <c r="AB32" s="12" t="s">
        <v>24</v>
      </c>
      <c r="AC32" s="12" t="s">
        <v>24</v>
      </c>
      <c r="AD32" s="12" t="s">
        <v>24</v>
      </c>
      <c r="AE32" s="12" t="s">
        <v>24</v>
      </c>
      <c r="AF32" s="12" t="s">
        <v>24</v>
      </c>
      <c r="AG32" s="12" t="s">
        <v>24</v>
      </c>
      <c r="AH32" s="12" t="s">
        <v>24</v>
      </c>
      <c r="AI32" s="12" t="s">
        <v>24</v>
      </c>
      <c r="AJ32" s="12" t="s">
        <v>24</v>
      </c>
      <c r="AK32" s="13" t="s">
        <v>24</v>
      </c>
      <c r="AL32" s="12" t="s">
        <v>24</v>
      </c>
      <c r="AM32" s="12" t="s">
        <v>24</v>
      </c>
      <c r="AN32" s="12" t="s">
        <v>24</v>
      </c>
      <c r="AO32" s="12" t="s">
        <v>24</v>
      </c>
      <c r="AP32" s="12" t="s">
        <v>24</v>
      </c>
      <c r="AQ32" s="12" t="s">
        <v>24</v>
      </c>
      <c r="AR32" s="12" t="s">
        <v>24</v>
      </c>
      <c r="AS32" s="12" t="s">
        <v>24</v>
      </c>
      <c r="AT32" s="12" t="s">
        <v>24</v>
      </c>
      <c r="AU32" s="12" t="s">
        <v>24</v>
      </c>
      <c r="AV32" s="12" t="s">
        <v>24</v>
      </c>
      <c r="AW32" s="12" t="s">
        <v>24</v>
      </c>
      <c r="AX32" s="12" t="s">
        <v>24</v>
      </c>
      <c r="AY32" s="12" t="s">
        <v>24</v>
      </c>
      <c r="AZ32" s="12" t="s">
        <v>24</v>
      </c>
      <c r="BA32" s="12" t="s">
        <v>24</v>
      </c>
      <c r="BB32" s="12" t="s">
        <v>24</v>
      </c>
      <c r="BC32" s="12" t="s">
        <v>24</v>
      </c>
      <c r="BD32" s="12" t="s">
        <v>24</v>
      </c>
      <c r="BE32" s="13" t="s">
        <v>24</v>
      </c>
      <c r="BF32" s="12" t="s">
        <v>24</v>
      </c>
      <c r="BG32" s="12" t="s">
        <v>24</v>
      </c>
      <c r="BH32" s="12" t="s">
        <v>24</v>
      </c>
      <c r="BI32" s="12" t="s">
        <v>24</v>
      </c>
      <c r="BJ32" s="12" t="s">
        <v>24</v>
      </c>
      <c r="BK32" s="12" t="s">
        <v>24</v>
      </c>
      <c r="BL32" s="12" t="s">
        <v>24</v>
      </c>
      <c r="BM32" s="12" t="s">
        <v>24</v>
      </c>
      <c r="BN32" s="12" t="s">
        <v>24</v>
      </c>
      <c r="BO32" s="12" t="s">
        <v>24</v>
      </c>
      <c r="BP32" s="12" t="s">
        <v>24</v>
      </c>
      <c r="BQ32" s="12" t="s">
        <v>24</v>
      </c>
      <c r="BR32" s="12" t="s">
        <v>24</v>
      </c>
      <c r="BS32" s="12" t="s">
        <v>24</v>
      </c>
      <c r="BT32" s="12" t="s">
        <v>24</v>
      </c>
      <c r="BU32" s="12" t="s">
        <v>24</v>
      </c>
      <c r="BV32" s="17">
        <f t="shared" si="0"/>
        <v>0</v>
      </c>
      <c r="BW32" s="17" cm="1">
        <f t="array" ref="BW32">SUM(COUNTIF(D32:BU32,{"A";"AT"}))</f>
        <v>70</v>
      </c>
      <c r="BX32" s="17">
        <f t="shared" si="1"/>
        <v>0</v>
      </c>
      <c r="BY32" s="17">
        <f t="shared" si="2"/>
        <v>0</v>
      </c>
      <c r="BZ32" s="18">
        <f t="shared" si="3"/>
        <v>70</v>
      </c>
      <c r="CA32" s="33">
        <f>+BV32+'2DO TRIMESTRE'!BM32+'1ER TRIMESTRE'!BU32</f>
        <v>0</v>
      </c>
      <c r="CB32" s="18">
        <f>+BW32+'2DO TRIMESTRE'!BN32+'1ER TRIMESTRE'!BV32</f>
        <v>200</v>
      </c>
      <c r="CC32" s="33">
        <f>+BX32+'2DO TRIMESTRE'!BO32+'1ER TRIMESTRE'!BW32</f>
        <v>0</v>
      </c>
      <c r="CD32" s="33">
        <f>+BY32+'2DO TRIMESTRE'!BP32+'1ER TRIMESTRE'!BX32</f>
        <v>0</v>
      </c>
      <c r="CE32" s="18">
        <f>BZ32+'2DO TRIMESTRE'!BQ32+'1ER TRIMESTRE'!BY32</f>
        <v>200</v>
      </c>
    </row>
    <row r="33" spans="1:83" ht="20.25" customHeight="1" thickBot="1" x14ac:dyDescent="0.25">
      <c r="A33" s="1">
        <v>23</v>
      </c>
      <c r="B33" s="94">
        <f>+'1ER TRIMESTRE'!B33</f>
        <v>0</v>
      </c>
      <c r="C33" s="95"/>
      <c r="D33" s="11" t="s">
        <v>24</v>
      </c>
      <c r="E33" s="12" t="s">
        <v>24</v>
      </c>
      <c r="F33" s="12" t="s">
        <v>24</v>
      </c>
      <c r="G33" s="12" t="s">
        <v>24</v>
      </c>
      <c r="H33" s="12" t="s">
        <v>24</v>
      </c>
      <c r="I33" s="12" t="s">
        <v>24</v>
      </c>
      <c r="J33" s="12" t="s">
        <v>24</v>
      </c>
      <c r="K33" s="12" t="s">
        <v>24</v>
      </c>
      <c r="L33" s="12" t="s">
        <v>24</v>
      </c>
      <c r="M33" s="12" t="s">
        <v>24</v>
      </c>
      <c r="N33" s="12" t="s">
        <v>24</v>
      </c>
      <c r="O33" s="12" t="s">
        <v>24</v>
      </c>
      <c r="P33" s="12" t="s">
        <v>24</v>
      </c>
      <c r="Q33" s="12" t="s">
        <v>24</v>
      </c>
      <c r="R33" s="12" t="s">
        <v>24</v>
      </c>
      <c r="S33" s="13" t="s">
        <v>24</v>
      </c>
      <c r="T33" s="12" t="s">
        <v>24</v>
      </c>
      <c r="U33" s="12" t="s">
        <v>24</v>
      </c>
      <c r="V33" s="12" t="s">
        <v>24</v>
      </c>
      <c r="W33" s="12" t="s">
        <v>24</v>
      </c>
      <c r="X33" s="12" t="s">
        <v>24</v>
      </c>
      <c r="Y33" s="12" t="s">
        <v>24</v>
      </c>
      <c r="Z33" s="12" t="s">
        <v>24</v>
      </c>
      <c r="AA33" s="12" t="s">
        <v>24</v>
      </c>
      <c r="AB33" s="12" t="s">
        <v>24</v>
      </c>
      <c r="AC33" s="12" t="s">
        <v>24</v>
      </c>
      <c r="AD33" s="12" t="s">
        <v>24</v>
      </c>
      <c r="AE33" s="12" t="s">
        <v>24</v>
      </c>
      <c r="AF33" s="12" t="s">
        <v>24</v>
      </c>
      <c r="AG33" s="12" t="s">
        <v>24</v>
      </c>
      <c r="AH33" s="12" t="s">
        <v>24</v>
      </c>
      <c r="AI33" s="12" t="s">
        <v>24</v>
      </c>
      <c r="AJ33" s="12" t="s">
        <v>24</v>
      </c>
      <c r="AK33" s="13" t="s">
        <v>24</v>
      </c>
      <c r="AL33" s="12" t="s">
        <v>24</v>
      </c>
      <c r="AM33" s="12" t="s">
        <v>24</v>
      </c>
      <c r="AN33" s="12" t="s">
        <v>24</v>
      </c>
      <c r="AO33" s="12" t="s">
        <v>24</v>
      </c>
      <c r="AP33" s="12" t="s">
        <v>24</v>
      </c>
      <c r="AQ33" s="12" t="s">
        <v>24</v>
      </c>
      <c r="AR33" s="12" t="s">
        <v>24</v>
      </c>
      <c r="AS33" s="12" t="s">
        <v>24</v>
      </c>
      <c r="AT33" s="12" t="s">
        <v>24</v>
      </c>
      <c r="AU33" s="12" t="s">
        <v>24</v>
      </c>
      <c r="AV33" s="12" t="s">
        <v>24</v>
      </c>
      <c r="AW33" s="12" t="s">
        <v>24</v>
      </c>
      <c r="AX33" s="12" t="s">
        <v>24</v>
      </c>
      <c r="AY33" s="12" t="s">
        <v>24</v>
      </c>
      <c r="AZ33" s="12" t="s">
        <v>24</v>
      </c>
      <c r="BA33" s="12" t="s">
        <v>24</v>
      </c>
      <c r="BB33" s="12" t="s">
        <v>24</v>
      </c>
      <c r="BC33" s="12" t="s">
        <v>24</v>
      </c>
      <c r="BD33" s="12" t="s">
        <v>24</v>
      </c>
      <c r="BE33" s="13" t="s">
        <v>24</v>
      </c>
      <c r="BF33" s="12" t="s">
        <v>24</v>
      </c>
      <c r="BG33" s="12" t="s">
        <v>24</v>
      </c>
      <c r="BH33" s="12" t="s">
        <v>24</v>
      </c>
      <c r="BI33" s="12" t="s">
        <v>24</v>
      </c>
      <c r="BJ33" s="12" t="s">
        <v>24</v>
      </c>
      <c r="BK33" s="12" t="s">
        <v>24</v>
      </c>
      <c r="BL33" s="12" t="s">
        <v>24</v>
      </c>
      <c r="BM33" s="12" t="s">
        <v>24</v>
      </c>
      <c r="BN33" s="12" t="s">
        <v>24</v>
      </c>
      <c r="BO33" s="12" t="s">
        <v>24</v>
      </c>
      <c r="BP33" s="12" t="s">
        <v>24</v>
      </c>
      <c r="BQ33" s="12" t="s">
        <v>24</v>
      </c>
      <c r="BR33" s="12" t="s">
        <v>24</v>
      </c>
      <c r="BS33" s="12" t="s">
        <v>24</v>
      </c>
      <c r="BT33" s="12" t="s">
        <v>24</v>
      </c>
      <c r="BU33" s="12" t="s">
        <v>24</v>
      </c>
      <c r="BV33" s="17">
        <f t="shared" si="0"/>
        <v>0</v>
      </c>
      <c r="BW33" s="17" cm="1">
        <f t="array" ref="BW33">SUM(COUNTIF(D33:BU33,{"A";"AT"}))</f>
        <v>70</v>
      </c>
      <c r="BX33" s="17">
        <f t="shared" si="1"/>
        <v>0</v>
      </c>
      <c r="BY33" s="17">
        <f t="shared" si="2"/>
        <v>0</v>
      </c>
      <c r="BZ33" s="18">
        <f t="shared" si="3"/>
        <v>70</v>
      </c>
      <c r="CA33" s="33">
        <f>+BV33+'2DO TRIMESTRE'!BM33+'1ER TRIMESTRE'!BU33</f>
        <v>0</v>
      </c>
      <c r="CB33" s="18">
        <f>+BW33+'2DO TRIMESTRE'!BN33+'1ER TRIMESTRE'!BV33</f>
        <v>200</v>
      </c>
      <c r="CC33" s="33">
        <f>+BX33+'2DO TRIMESTRE'!BO33+'1ER TRIMESTRE'!BW33</f>
        <v>0</v>
      </c>
      <c r="CD33" s="33">
        <f>+BY33+'2DO TRIMESTRE'!BP33+'1ER TRIMESTRE'!BX33</f>
        <v>0</v>
      </c>
      <c r="CE33" s="18">
        <f>BZ33+'2DO TRIMESTRE'!BQ33+'1ER TRIMESTRE'!BY33</f>
        <v>200</v>
      </c>
    </row>
    <row r="34" spans="1:83" ht="20.25" customHeight="1" thickBot="1" x14ac:dyDescent="0.25">
      <c r="A34" s="1">
        <v>24</v>
      </c>
      <c r="B34" s="94">
        <f>+'1ER TRIMESTRE'!B34</f>
        <v>0</v>
      </c>
      <c r="C34" s="95"/>
      <c r="D34" s="11" t="s">
        <v>24</v>
      </c>
      <c r="E34" s="12" t="s">
        <v>24</v>
      </c>
      <c r="F34" s="12" t="s">
        <v>24</v>
      </c>
      <c r="G34" s="12" t="s">
        <v>24</v>
      </c>
      <c r="H34" s="12" t="s">
        <v>24</v>
      </c>
      <c r="I34" s="12" t="s">
        <v>24</v>
      </c>
      <c r="J34" s="12" t="s">
        <v>24</v>
      </c>
      <c r="K34" s="12" t="s">
        <v>24</v>
      </c>
      <c r="L34" s="12" t="s">
        <v>24</v>
      </c>
      <c r="M34" s="12" t="s">
        <v>24</v>
      </c>
      <c r="N34" s="12" t="s">
        <v>24</v>
      </c>
      <c r="O34" s="12" t="s">
        <v>24</v>
      </c>
      <c r="P34" s="12" t="s">
        <v>24</v>
      </c>
      <c r="Q34" s="12" t="s">
        <v>24</v>
      </c>
      <c r="R34" s="12" t="s">
        <v>24</v>
      </c>
      <c r="S34" s="13" t="s">
        <v>24</v>
      </c>
      <c r="T34" s="12" t="s">
        <v>24</v>
      </c>
      <c r="U34" s="12" t="s">
        <v>24</v>
      </c>
      <c r="V34" s="12" t="s">
        <v>24</v>
      </c>
      <c r="W34" s="12" t="s">
        <v>24</v>
      </c>
      <c r="X34" s="12" t="s">
        <v>24</v>
      </c>
      <c r="Y34" s="12" t="s">
        <v>24</v>
      </c>
      <c r="Z34" s="12" t="s">
        <v>24</v>
      </c>
      <c r="AA34" s="12" t="s">
        <v>24</v>
      </c>
      <c r="AB34" s="12" t="s">
        <v>24</v>
      </c>
      <c r="AC34" s="12" t="s">
        <v>24</v>
      </c>
      <c r="AD34" s="12" t="s">
        <v>24</v>
      </c>
      <c r="AE34" s="12" t="s">
        <v>24</v>
      </c>
      <c r="AF34" s="12" t="s">
        <v>24</v>
      </c>
      <c r="AG34" s="12" t="s">
        <v>24</v>
      </c>
      <c r="AH34" s="12" t="s">
        <v>24</v>
      </c>
      <c r="AI34" s="12" t="s">
        <v>24</v>
      </c>
      <c r="AJ34" s="12" t="s">
        <v>24</v>
      </c>
      <c r="AK34" s="13" t="s">
        <v>24</v>
      </c>
      <c r="AL34" s="12" t="s">
        <v>24</v>
      </c>
      <c r="AM34" s="12" t="s">
        <v>24</v>
      </c>
      <c r="AN34" s="12" t="s">
        <v>24</v>
      </c>
      <c r="AO34" s="12" t="s">
        <v>24</v>
      </c>
      <c r="AP34" s="12" t="s">
        <v>24</v>
      </c>
      <c r="AQ34" s="12" t="s">
        <v>24</v>
      </c>
      <c r="AR34" s="12" t="s">
        <v>24</v>
      </c>
      <c r="AS34" s="12" t="s">
        <v>24</v>
      </c>
      <c r="AT34" s="12" t="s">
        <v>24</v>
      </c>
      <c r="AU34" s="12" t="s">
        <v>24</v>
      </c>
      <c r="AV34" s="12" t="s">
        <v>24</v>
      </c>
      <c r="AW34" s="12" t="s">
        <v>24</v>
      </c>
      <c r="AX34" s="12" t="s">
        <v>24</v>
      </c>
      <c r="AY34" s="12" t="s">
        <v>24</v>
      </c>
      <c r="AZ34" s="12" t="s">
        <v>24</v>
      </c>
      <c r="BA34" s="12" t="s">
        <v>24</v>
      </c>
      <c r="BB34" s="12" t="s">
        <v>24</v>
      </c>
      <c r="BC34" s="12" t="s">
        <v>24</v>
      </c>
      <c r="BD34" s="12" t="s">
        <v>24</v>
      </c>
      <c r="BE34" s="13" t="s">
        <v>24</v>
      </c>
      <c r="BF34" s="12" t="s">
        <v>24</v>
      </c>
      <c r="BG34" s="12" t="s">
        <v>24</v>
      </c>
      <c r="BH34" s="12" t="s">
        <v>24</v>
      </c>
      <c r="BI34" s="12" t="s">
        <v>24</v>
      </c>
      <c r="BJ34" s="12" t="s">
        <v>24</v>
      </c>
      <c r="BK34" s="12" t="s">
        <v>24</v>
      </c>
      <c r="BL34" s="12" t="s">
        <v>24</v>
      </c>
      <c r="BM34" s="12" t="s">
        <v>24</v>
      </c>
      <c r="BN34" s="12" t="s">
        <v>24</v>
      </c>
      <c r="BO34" s="12" t="s">
        <v>24</v>
      </c>
      <c r="BP34" s="12" t="s">
        <v>24</v>
      </c>
      <c r="BQ34" s="12" t="s">
        <v>24</v>
      </c>
      <c r="BR34" s="12" t="s">
        <v>24</v>
      </c>
      <c r="BS34" s="12" t="s">
        <v>24</v>
      </c>
      <c r="BT34" s="12" t="s">
        <v>24</v>
      </c>
      <c r="BU34" s="12" t="s">
        <v>24</v>
      </c>
      <c r="BV34" s="17">
        <f t="shared" si="0"/>
        <v>0</v>
      </c>
      <c r="BW34" s="17" cm="1">
        <f t="array" ref="BW34">SUM(COUNTIF(D34:BU34,{"A";"AT"}))</f>
        <v>70</v>
      </c>
      <c r="BX34" s="17">
        <f t="shared" si="1"/>
        <v>0</v>
      </c>
      <c r="BY34" s="17">
        <f t="shared" si="2"/>
        <v>0</v>
      </c>
      <c r="BZ34" s="18">
        <f t="shared" si="3"/>
        <v>70</v>
      </c>
      <c r="CA34" s="33">
        <f>+BV34+'2DO TRIMESTRE'!BM34+'1ER TRIMESTRE'!BU34</f>
        <v>0</v>
      </c>
      <c r="CB34" s="18">
        <f>+BW34+'2DO TRIMESTRE'!BN34+'1ER TRIMESTRE'!BV34</f>
        <v>200</v>
      </c>
      <c r="CC34" s="33">
        <f>+BX34+'2DO TRIMESTRE'!BO34+'1ER TRIMESTRE'!BW34</f>
        <v>0</v>
      </c>
      <c r="CD34" s="33">
        <f>+BY34+'2DO TRIMESTRE'!BP34+'1ER TRIMESTRE'!BX34</f>
        <v>0</v>
      </c>
      <c r="CE34" s="18">
        <f>BZ34+'2DO TRIMESTRE'!BQ34+'1ER TRIMESTRE'!BY34</f>
        <v>200</v>
      </c>
    </row>
    <row r="35" spans="1:83" ht="20.25" customHeight="1" thickBot="1" x14ac:dyDescent="0.25">
      <c r="A35" s="1">
        <v>25</v>
      </c>
      <c r="B35" s="94">
        <f>+'1ER TRIMESTRE'!B34</f>
        <v>0</v>
      </c>
      <c r="C35" s="95"/>
      <c r="D35" s="11" t="s">
        <v>24</v>
      </c>
      <c r="E35" s="12" t="s">
        <v>24</v>
      </c>
      <c r="F35" s="12" t="s">
        <v>24</v>
      </c>
      <c r="G35" s="12" t="s">
        <v>24</v>
      </c>
      <c r="H35" s="12" t="s">
        <v>24</v>
      </c>
      <c r="I35" s="12" t="s">
        <v>24</v>
      </c>
      <c r="J35" s="12" t="s">
        <v>24</v>
      </c>
      <c r="K35" s="12" t="s">
        <v>24</v>
      </c>
      <c r="L35" s="12" t="s">
        <v>24</v>
      </c>
      <c r="M35" s="12" t="s">
        <v>24</v>
      </c>
      <c r="N35" s="12" t="s">
        <v>24</v>
      </c>
      <c r="O35" s="12" t="s">
        <v>24</v>
      </c>
      <c r="P35" s="12" t="s">
        <v>24</v>
      </c>
      <c r="Q35" s="12" t="s">
        <v>24</v>
      </c>
      <c r="R35" s="12" t="s">
        <v>24</v>
      </c>
      <c r="S35" s="13" t="s">
        <v>24</v>
      </c>
      <c r="T35" s="12" t="s">
        <v>24</v>
      </c>
      <c r="U35" s="12" t="s">
        <v>24</v>
      </c>
      <c r="V35" s="12" t="s">
        <v>24</v>
      </c>
      <c r="W35" s="12" t="s">
        <v>24</v>
      </c>
      <c r="X35" s="12" t="s">
        <v>24</v>
      </c>
      <c r="Y35" s="12" t="s">
        <v>24</v>
      </c>
      <c r="Z35" s="12" t="s">
        <v>24</v>
      </c>
      <c r="AA35" s="12" t="s">
        <v>24</v>
      </c>
      <c r="AB35" s="12" t="s">
        <v>24</v>
      </c>
      <c r="AC35" s="12" t="s">
        <v>24</v>
      </c>
      <c r="AD35" s="12" t="s">
        <v>24</v>
      </c>
      <c r="AE35" s="12" t="s">
        <v>24</v>
      </c>
      <c r="AF35" s="12" t="s">
        <v>24</v>
      </c>
      <c r="AG35" s="12" t="s">
        <v>24</v>
      </c>
      <c r="AH35" s="12" t="s">
        <v>24</v>
      </c>
      <c r="AI35" s="12" t="s">
        <v>24</v>
      </c>
      <c r="AJ35" s="12" t="s">
        <v>24</v>
      </c>
      <c r="AK35" s="13" t="s">
        <v>24</v>
      </c>
      <c r="AL35" s="12" t="s">
        <v>24</v>
      </c>
      <c r="AM35" s="12" t="s">
        <v>24</v>
      </c>
      <c r="AN35" s="12" t="s">
        <v>24</v>
      </c>
      <c r="AO35" s="12" t="s">
        <v>24</v>
      </c>
      <c r="AP35" s="12" t="s">
        <v>24</v>
      </c>
      <c r="AQ35" s="12" t="s">
        <v>24</v>
      </c>
      <c r="AR35" s="12" t="s">
        <v>24</v>
      </c>
      <c r="AS35" s="12" t="s">
        <v>24</v>
      </c>
      <c r="AT35" s="12" t="s">
        <v>24</v>
      </c>
      <c r="AU35" s="12" t="s">
        <v>24</v>
      </c>
      <c r="AV35" s="12" t="s">
        <v>24</v>
      </c>
      <c r="AW35" s="12" t="s">
        <v>24</v>
      </c>
      <c r="AX35" s="12" t="s">
        <v>24</v>
      </c>
      <c r="AY35" s="12" t="s">
        <v>24</v>
      </c>
      <c r="AZ35" s="12" t="s">
        <v>24</v>
      </c>
      <c r="BA35" s="12" t="s">
        <v>24</v>
      </c>
      <c r="BB35" s="12" t="s">
        <v>24</v>
      </c>
      <c r="BC35" s="12" t="s">
        <v>24</v>
      </c>
      <c r="BD35" s="12" t="s">
        <v>24</v>
      </c>
      <c r="BE35" s="13" t="s">
        <v>24</v>
      </c>
      <c r="BF35" s="12" t="s">
        <v>24</v>
      </c>
      <c r="BG35" s="12" t="s">
        <v>24</v>
      </c>
      <c r="BH35" s="12" t="s">
        <v>24</v>
      </c>
      <c r="BI35" s="12" t="s">
        <v>24</v>
      </c>
      <c r="BJ35" s="12" t="s">
        <v>24</v>
      </c>
      <c r="BK35" s="12" t="s">
        <v>24</v>
      </c>
      <c r="BL35" s="12" t="s">
        <v>24</v>
      </c>
      <c r="BM35" s="12" t="s">
        <v>24</v>
      </c>
      <c r="BN35" s="12" t="s">
        <v>24</v>
      </c>
      <c r="BO35" s="12" t="s">
        <v>24</v>
      </c>
      <c r="BP35" s="12" t="s">
        <v>24</v>
      </c>
      <c r="BQ35" s="12" t="s">
        <v>24</v>
      </c>
      <c r="BR35" s="12" t="s">
        <v>24</v>
      </c>
      <c r="BS35" s="12" t="s">
        <v>24</v>
      </c>
      <c r="BT35" s="12" t="s">
        <v>24</v>
      </c>
      <c r="BU35" s="12" t="s">
        <v>24</v>
      </c>
      <c r="BV35" s="17">
        <f t="shared" ref="BV35" si="4">COUNTIF(D35:BU35,"AT")</f>
        <v>0</v>
      </c>
      <c r="BW35" s="17" cm="1">
        <f t="array" ref="BW35">SUM(COUNTIF(D35:BU35,{"A";"AT"}))</f>
        <v>70</v>
      </c>
      <c r="BX35" s="17">
        <f t="shared" ref="BX35" si="5">COUNTIF(D35:BU35,"J")</f>
        <v>0</v>
      </c>
      <c r="BY35" s="17">
        <f t="shared" ref="BY35" si="6">COUNTIF(D35:BU35,"F")</f>
        <v>0</v>
      </c>
      <c r="BZ35" s="18">
        <f t="shared" ref="BZ35" si="7">SUM(BW35:BY35)</f>
        <v>70</v>
      </c>
      <c r="CA35" s="33">
        <f>+BV35+'2DO TRIMESTRE'!BM34+'1ER TRIMESTRE'!BU34</f>
        <v>0</v>
      </c>
      <c r="CB35" s="18">
        <f>+BW35+'2DO TRIMESTRE'!BN34+'1ER TRIMESTRE'!BV34</f>
        <v>200</v>
      </c>
      <c r="CC35" s="33">
        <f>+BX35+'2DO TRIMESTRE'!BO34+'1ER TRIMESTRE'!BW34</f>
        <v>0</v>
      </c>
      <c r="CD35" s="33">
        <f>+BY35+'2DO TRIMESTRE'!BP34+'1ER TRIMESTRE'!BX34</f>
        <v>0</v>
      </c>
      <c r="CE35" s="18">
        <f>BZ35+'2DO TRIMESTRE'!BQ34+'1ER TRIMESTRE'!BY34</f>
        <v>200</v>
      </c>
    </row>
    <row r="36" spans="1:83" ht="20.25" customHeight="1" thickBot="1" x14ac:dyDescent="0.25">
      <c r="A36" s="1">
        <v>26</v>
      </c>
      <c r="B36" s="94">
        <f>+'1ER TRIMESTRE'!B35</f>
        <v>0</v>
      </c>
      <c r="C36" s="95"/>
      <c r="D36" s="11" t="s">
        <v>24</v>
      </c>
      <c r="E36" s="12" t="s">
        <v>24</v>
      </c>
      <c r="F36" s="12" t="s">
        <v>24</v>
      </c>
      <c r="G36" s="12" t="s">
        <v>24</v>
      </c>
      <c r="H36" s="12" t="s">
        <v>24</v>
      </c>
      <c r="I36" s="12" t="s">
        <v>24</v>
      </c>
      <c r="J36" s="12" t="s">
        <v>24</v>
      </c>
      <c r="K36" s="12" t="s">
        <v>24</v>
      </c>
      <c r="L36" s="12" t="s">
        <v>24</v>
      </c>
      <c r="M36" s="12" t="s">
        <v>24</v>
      </c>
      <c r="N36" s="12" t="s">
        <v>24</v>
      </c>
      <c r="O36" s="12" t="s">
        <v>24</v>
      </c>
      <c r="P36" s="12" t="s">
        <v>24</v>
      </c>
      <c r="Q36" s="12" t="s">
        <v>24</v>
      </c>
      <c r="R36" s="12" t="s">
        <v>24</v>
      </c>
      <c r="S36" s="13" t="s">
        <v>24</v>
      </c>
      <c r="T36" s="12" t="s">
        <v>24</v>
      </c>
      <c r="U36" s="12" t="s">
        <v>24</v>
      </c>
      <c r="V36" s="12" t="s">
        <v>24</v>
      </c>
      <c r="W36" s="12" t="s">
        <v>24</v>
      </c>
      <c r="X36" s="12" t="s">
        <v>24</v>
      </c>
      <c r="Y36" s="12" t="s">
        <v>24</v>
      </c>
      <c r="Z36" s="12" t="s">
        <v>24</v>
      </c>
      <c r="AA36" s="12" t="s">
        <v>24</v>
      </c>
      <c r="AB36" s="12" t="s">
        <v>24</v>
      </c>
      <c r="AC36" s="12" t="s">
        <v>24</v>
      </c>
      <c r="AD36" s="12" t="s">
        <v>24</v>
      </c>
      <c r="AE36" s="12" t="s">
        <v>24</v>
      </c>
      <c r="AF36" s="12" t="s">
        <v>24</v>
      </c>
      <c r="AG36" s="12" t="s">
        <v>24</v>
      </c>
      <c r="AH36" s="12" t="s">
        <v>24</v>
      </c>
      <c r="AI36" s="12" t="s">
        <v>24</v>
      </c>
      <c r="AJ36" s="12" t="s">
        <v>24</v>
      </c>
      <c r="AK36" s="13" t="s">
        <v>24</v>
      </c>
      <c r="AL36" s="12" t="s">
        <v>24</v>
      </c>
      <c r="AM36" s="12" t="s">
        <v>24</v>
      </c>
      <c r="AN36" s="12" t="s">
        <v>24</v>
      </c>
      <c r="AO36" s="12" t="s">
        <v>24</v>
      </c>
      <c r="AP36" s="12" t="s">
        <v>24</v>
      </c>
      <c r="AQ36" s="12" t="s">
        <v>24</v>
      </c>
      <c r="AR36" s="12" t="s">
        <v>24</v>
      </c>
      <c r="AS36" s="12" t="s">
        <v>24</v>
      </c>
      <c r="AT36" s="12" t="s">
        <v>24</v>
      </c>
      <c r="AU36" s="12" t="s">
        <v>24</v>
      </c>
      <c r="AV36" s="12" t="s">
        <v>24</v>
      </c>
      <c r="AW36" s="12" t="s">
        <v>24</v>
      </c>
      <c r="AX36" s="12" t="s">
        <v>24</v>
      </c>
      <c r="AY36" s="12" t="s">
        <v>24</v>
      </c>
      <c r="AZ36" s="12" t="s">
        <v>24</v>
      </c>
      <c r="BA36" s="12" t="s">
        <v>24</v>
      </c>
      <c r="BB36" s="12" t="s">
        <v>24</v>
      </c>
      <c r="BC36" s="12" t="s">
        <v>24</v>
      </c>
      <c r="BD36" s="12" t="s">
        <v>24</v>
      </c>
      <c r="BE36" s="13" t="s">
        <v>24</v>
      </c>
      <c r="BF36" s="12" t="s">
        <v>24</v>
      </c>
      <c r="BG36" s="12" t="s">
        <v>24</v>
      </c>
      <c r="BH36" s="12" t="s">
        <v>24</v>
      </c>
      <c r="BI36" s="12" t="s">
        <v>24</v>
      </c>
      <c r="BJ36" s="12" t="s">
        <v>24</v>
      </c>
      <c r="BK36" s="12" t="s">
        <v>24</v>
      </c>
      <c r="BL36" s="12" t="s">
        <v>24</v>
      </c>
      <c r="BM36" s="12" t="s">
        <v>24</v>
      </c>
      <c r="BN36" s="12" t="s">
        <v>24</v>
      </c>
      <c r="BO36" s="12" t="s">
        <v>24</v>
      </c>
      <c r="BP36" s="12" t="s">
        <v>24</v>
      </c>
      <c r="BQ36" s="12" t="s">
        <v>24</v>
      </c>
      <c r="BR36" s="12" t="s">
        <v>24</v>
      </c>
      <c r="BS36" s="12" t="s">
        <v>24</v>
      </c>
      <c r="BT36" s="12" t="s">
        <v>24</v>
      </c>
      <c r="BU36" s="12" t="s">
        <v>24</v>
      </c>
      <c r="BV36" s="17">
        <f t="shared" si="0"/>
        <v>0</v>
      </c>
      <c r="BW36" s="17" cm="1">
        <f t="array" ref="BW36">SUM(COUNTIF(D36:BU36,{"A";"AT"}))</f>
        <v>70</v>
      </c>
      <c r="BX36" s="17">
        <f t="shared" si="1"/>
        <v>0</v>
      </c>
      <c r="BY36" s="17">
        <f t="shared" si="2"/>
        <v>0</v>
      </c>
      <c r="BZ36" s="18">
        <f t="shared" si="3"/>
        <v>70</v>
      </c>
      <c r="CA36" s="33">
        <f>+BV36+'2DO TRIMESTRE'!BM35+'1ER TRIMESTRE'!BU35</f>
        <v>0</v>
      </c>
      <c r="CB36" s="18">
        <f>+BW36+'2DO TRIMESTRE'!BN35+'1ER TRIMESTRE'!BV35</f>
        <v>200</v>
      </c>
      <c r="CC36" s="33">
        <f>+BX36+'2DO TRIMESTRE'!BO35+'1ER TRIMESTRE'!BW35</f>
        <v>0</v>
      </c>
      <c r="CD36" s="33">
        <f>+BY36+'2DO TRIMESTRE'!BP35+'1ER TRIMESTRE'!BX35</f>
        <v>0</v>
      </c>
      <c r="CE36" s="18">
        <f>BZ36+'2DO TRIMESTRE'!BQ35+'1ER TRIMESTRE'!BY35</f>
        <v>200</v>
      </c>
    </row>
    <row r="37" spans="1:83" ht="20.25" customHeight="1" thickBot="1" x14ac:dyDescent="0.25">
      <c r="A37" s="1">
        <v>27</v>
      </c>
      <c r="B37" s="94">
        <f>+'1ER TRIMESTRE'!B36</f>
        <v>0</v>
      </c>
      <c r="C37" s="95"/>
      <c r="D37" s="11" t="s">
        <v>24</v>
      </c>
      <c r="E37" s="12" t="s">
        <v>24</v>
      </c>
      <c r="F37" s="12" t="s">
        <v>24</v>
      </c>
      <c r="G37" s="12" t="s">
        <v>24</v>
      </c>
      <c r="H37" s="12" t="s">
        <v>24</v>
      </c>
      <c r="I37" s="12" t="s">
        <v>24</v>
      </c>
      <c r="J37" s="12" t="s">
        <v>24</v>
      </c>
      <c r="K37" s="12" t="s">
        <v>24</v>
      </c>
      <c r="L37" s="12" t="s">
        <v>24</v>
      </c>
      <c r="M37" s="12" t="s">
        <v>24</v>
      </c>
      <c r="N37" s="12" t="s">
        <v>24</v>
      </c>
      <c r="O37" s="12" t="s">
        <v>24</v>
      </c>
      <c r="P37" s="12" t="s">
        <v>24</v>
      </c>
      <c r="Q37" s="12" t="s">
        <v>24</v>
      </c>
      <c r="R37" s="12" t="s">
        <v>24</v>
      </c>
      <c r="S37" s="13" t="s">
        <v>24</v>
      </c>
      <c r="T37" s="12" t="s">
        <v>24</v>
      </c>
      <c r="U37" s="12" t="s">
        <v>24</v>
      </c>
      <c r="V37" s="12" t="s">
        <v>24</v>
      </c>
      <c r="W37" s="12" t="s">
        <v>24</v>
      </c>
      <c r="X37" s="12" t="s">
        <v>24</v>
      </c>
      <c r="Y37" s="12" t="s">
        <v>24</v>
      </c>
      <c r="Z37" s="12" t="s">
        <v>24</v>
      </c>
      <c r="AA37" s="12" t="s">
        <v>24</v>
      </c>
      <c r="AB37" s="12" t="s">
        <v>24</v>
      </c>
      <c r="AC37" s="12" t="s">
        <v>24</v>
      </c>
      <c r="AD37" s="12" t="s">
        <v>24</v>
      </c>
      <c r="AE37" s="12" t="s">
        <v>24</v>
      </c>
      <c r="AF37" s="12" t="s">
        <v>24</v>
      </c>
      <c r="AG37" s="12" t="s">
        <v>24</v>
      </c>
      <c r="AH37" s="12" t="s">
        <v>24</v>
      </c>
      <c r="AI37" s="12" t="s">
        <v>24</v>
      </c>
      <c r="AJ37" s="12" t="s">
        <v>24</v>
      </c>
      <c r="AK37" s="13" t="s">
        <v>24</v>
      </c>
      <c r="AL37" s="12" t="s">
        <v>24</v>
      </c>
      <c r="AM37" s="12" t="s">
        <v>24</v>
      </c>
      <c r="AN37" s="12" t="s">
        <v>24</v>
      </c>
      <c r="AO37" s="12" t="s">
        <v>24</v>
      </c>
      <c r="AP37" s="12" t="s">
        <v>24</v>
      </c>
      <c r="AQ37" s="12" t="s">
        <v>24</v>
      </c>
      <c r="AR37" s="12" t="s">
        <v>24</v>
      </c>
      <c r="AS37" s="12" t="s">
        <v>24</v>
      </c>
      <c r="AT37" s="12" t="s">
        <v>24</v>
      </c>
      <c r="AU37" s="12" t="s">
        <v>24</v>
      </c>
      <c r="AV37" s="12" t="s">
        <v>24</v>
      </c>
      <c r="AW37" s="12" t="s">
        <v>24</v>
      </c>
      <c r="AX37" s="12" t="s">
        <v>24</v>
      </c>
      <c r="AY37" s="12" t="s">
        <v>24</v>
      </c>
      <c r="AZ37" s="12" t="s">
        <v>24</v>
      </c>
      <c r="BA37" s="12" t="s">
        <v>24</v>
      </c>
      <c r="BB37" s="12" t="s">
        <v>24</v>
      </c>
      <c r="BC37" s="12" t="s">
        <v>24</v>
      </c>
      <c r="BD37" s="12" t="s">
        <v>24</v>
      </c>
      <c r="BE37" s="13" t="s">
        <v>24</v>
      </c>
      <c r="BF37" s="12" t="s">
        <v>24</v>
      </c>
      <c r="BG37" s="12" t="s">
        <v>24</v>
      </c>
      <c r="BH37" s="12" t="s">
        <v>24</v>
      </c>
      <c r="BI37" s="12" t="s">
        <v>24</v>
      </c>
      <c r="BJ37" s="12" t="s">
        <v>24</v>
      </c>
      <c r="BK37" s="12" t="s">
        <v>24</v>
      </c>
      <c r="BL37" s="12" t="s">
        <v>24</v>
      </c>
      <c r="BM37" s="12" t="s">
        <v>24</v>
      </c>
      <c r="BN37" s="12" t="s">
        <v>24</v>
      </c>
      <c r="BO37" s="12" t="s">
        <v>24</v>
      </c>
      <c r="BP37" s="12" t="s">
        <v>24</v>
      </c>
      <c r="BQ37" s="12" t="s">
        <v>24</v>
      </c>
      <c r="BR37" s="12" t="s">
        <v>24</v>
      </c>
      <c r="BS37" s="12" t="s">
        <v>24</v>
      </c>
      <c r="BT37" s="12" t="s">
        <v>24</v>
      </c>
      <c r="BU37" s="12" t="s">
        <v>24</v>
      </c>
      <c r="BV37" s="17">
        <f t="shared" si="0"/>
        <v>0</v>
      </c>
      <c r="BW37" s="17" cm="1">
        <f t="array" ref="BW37">SUM(COUNTIF(D37:BU37,{"A";"AT"}))</f>
        <v>70</v>
      </c>
      <c r="BX37" s="17">
        <f t="shared" si="1"/>
        <v>0</v>
      </c>
      <c r="BY37" s="17">
        <f t="shared" si="2"/>
        <v>0</v>
      </c>
      <c r="BZ37" s="18">
        <f t="shared" si="3"/>
        <v>70</v>
      </c>
      <c r="CA37" s="33">
        <f>+BV37+'2DO TRIMESTRE'!BM36+'1ER TRIMESTRE'!BU36</f>
        <v>0</v>
      </c>
      <c r="CB37" s="18">
        <f>+BW37+'2DO TRIMESTRE'!BN36+'1ER TRIMESTRE'!BV36</f>
        <v>200</v>
      </c>
      <c r="CC37" s="33">
        <f>+BX37+'2DO TRIMESTRE'!BO36+'1ER TRIMESTRE'!BW36</f>
        <v>0</v>
      </c>
      <c r="CD37" s="33">
        <f>+BY37+'2DO TRIMESTRE'!BP36+'1ER TRIMESTRE'!BX36</f>
        <v>0</v>
      </c>
      <c r="CE37" s="18">
        <f>BZ37+'2DO TRIMESTRE'!BQ36+'1ER TRIMESTRE'!BY36</f>
        <v>200</v>
      </c>
    </row>
    <row r="38" spans="1:83" ht="20.25" customHeight="1" thickBot="1" x14ac:dyDescent="0.25">
      <c r="A38" s="1">
        <v>28</v>
      </c>
      <c r="B38" s="94">
        <f>+'1ER TRIMESTRE'!B37</f>
        <v>0</v>
      </c>
      <c r="C38" s="95"/>
      <c r="D38" s="11" t="s">
        <v>24</v>
      </c>
      <c r="E38" s="12" t="s">
        <v>24</v>
      </c>
      <c r="F38" s="12" t="s">
        <v>24</v>
      </c>
      <c r="G38" s="12" t="s">
        <v>24</v>
      </c>
      <c r="H38" s="12" t="s">
        <v>24</v>
      </c>
      <c r="I38" s="12" t="s">
        <v>24</v>
      </c>
      <c r="J38" s="12" t="s">
        <v>24</v>
      </c>
      <c r="K38" s="12" t="s">
        <v>24</v>
      </c>
      <c r="L38" s="12" t="s">
        <v>24</v>
      </c>
      <c r="M38" s="12" t="s">
        <v>24</v>
      </c>
      <c r="N38" s="12" t="s">
        <v>24</v>
      </c>
      <c r="O38" s="12" t="s">
        <v>24</v>
      </c>
      <c r="P38" s="12" t="s">
        <v>24</v>
      </c>
      <c r="Q38" s="12" t="s">
        <v>24</v>
      </c>
      <c r="R38" s="12" t="s">
        <v>24</v>
      </c>
      <c r="S38" s="13" t="s">
        <v>24</v>
      </c>
      <c r="T38" s="12" t="s">
        <v>24</v>
      </c>
      <c r="U38" s="12" t="s">
        <v>24</v>
      </c>
      <c r="V38" s="12" t="s">
        <v>24</v>
      </c>
      <c r="W38" s="12" t="s">
        <v>24</v>
      </c>
      <c r="X38" s="12" t="s">
        <v>24</v>
      </c>
      <c r="Y38" s="12" t="s">
        <v>24</v>
      </c>
      <c r="Z38" s="12" t="s">
        <v>24</v>
      </c>
      <c r="AA38" s="12" t="s">
        <v>24</v>
      </c>
      <c r="AB38" s="12" t="s">
        <v>24</v>
      </c>
      <c r="AC38" s="12" t="s">
        <v>24</v>
      </c>
      <c r="AD38" s="12" t="s">
        <v>24</v>
      </c>
      <c r="AE38" s="12" t="s">
        <v>24</v>
      </c>
      <c r="AF38" s="12" t="s">
        <v>24</v>
      </c>
      <c r="AG38" s="12" t="s">
        <v>24</v>
      </c>
      <c r="AH38" s="12" t="s">
        <v>24</v>
      </c>
      <c r="AI38" s="12" t="s">
        <v>24</v>
      </c>
      <c r="AJ38" s="12" t="s">
        <v>24</v>
      </c>
      <c r="AK38" s="13" t="s">
        <v>24</v>
      </c>
      <c r="AL38" s="12" t="s">
        <v>24</v>
      </c>
      <c r="AM38" s="12" t="s">
        <v>24</v>
      </c>
      <c r="AN38" s="12" t="s">
        <v>24</v>
      </c>
      <c r="AO38" s="12" t="s">
        <v>24</v>
      </c>
      <c r="AP38" s="12" t="s">
        <v>24</v>
      </c>
      <c r="AQ38" s="12" t="s">
        <v>24</v>
      </c>
      <c r="AR38" s="12" t="s">
        <v>24</v>
      </c>
      <c r="AS38" s="12" t="s">
        <v>24</v>
      </c>
      <c r="AT38" s="12" t="s">
        <v>24</v>
      </c>
      <c r="AU38" s="12" t="s">
        <v>24</v>
      </c>
      <c r="AV38" s="12" t="s">
        <v>24</v>
      </c>
      <c r="AW38" s="12" t="s">
        <v>24</v>
      </c>
      <c r="AX38" s="12" t="s">
        <v>24</v>
      </c>
      <c r="AY38" s="12" t="s">
        <v>24</v>
      </c>
      <c r="AZ38" s="12" t="s">
        <v>24</v>
      </c>
      <c r="BA38" s="12" t="s">
        <v>24</v>
      </c>
      <c r="BB38" s="12" t="s">
        <v>24</v>
      </c>
      <c r="BC38" s="12" t="s">
        <v>24</v>
      </c>
      <c r="BD38" s="12" t="s">
        <v>24</v>
      </c>
      <c r="BE38" s="13" t="s">
        <v>24</v>
      </c>
      <c r="BF38" s="12" t="s">
        <v>24</v>
      </c>
      <c r="BG38" s="12" t="s">
        <v>24</v>
      </c>
      <c r="BH38" s="12" t="s">
        <v>24</v>
      </c>
      <c r="BI38" s="12" t="s">
        <v>24</v>
      </c>
      <c r="BJ38" s="12" t="s">
        <v>24</v>
      </c>
      <c r="BK38" s="12" t="s">
        <v>24</v>
      </c>
      <c r="BL38" s="12" t="s">
        <v>24</v>
      </c>
      <c r="BM38" s="12" t="s">
        <v>24</v>
      </c>
      <c r="BN38" s="12" t="s">
        <v>24</v>
      </c>
      <c r="BO38" s="12" t="s">
        <v>24</v>
      </c>
      <c r="BP38" s="12" t="s">
        <v>24</v>
      </c>
      <c r="BQ38" s="12" t="s">
        <v>24</v>
      </c>
      <c r="BR38" s="12" t="s">
        <v>24</v>
      </c>
      <c r="BS38" s="12" t="s">
        <v>24</v>
      </c>
      <c r="BT38" s="12" t="s">
        <v>24</v>
      </c>
      <c r="BU38" s="12" t="s">
        <v>24</v>
      </c>
      <c r="BV38" s="17">
        <f t="shared" si="0"/>
        <v>0</v>
      </c>
      <c r="BW38" s="17" cm="1">
        <f t="array" ref="BW38">SUM(COUNTIF(D38:BU38,{"A";"AT"}))</f>
        <v>70</v>
      </c>
      <c r="BX38" s="17">
        <f t="shared" si="1"/>
        <v>0</v>
      </c>
      <c r="BY38" s="17">
        <f t="shared" si="2"/>
        <v>0</v>
      </c>
      <c r="BZ38" s="18">
        <f t="shared" si="3"/>
        <v>70</v>
      </c>
      <c r="CA38" s="33">
        <f>+BV38+'2DO TRIMESTRE'!BM37+'1ER TRIMESTRE'!BU37</f>
        <v>0</v>
      </c>
      <c r="CB38" s="18">
        <f>+BW38+'2DO TRIMESTRE'!BN37+'1ER TRIMESTRE'!BV37</f>
        <v>200</v>
      </c>
      <c r="CC38" s="33">
        <f>+BX38+'2DO TRIMESTRE'!BO37+'1ER TRIMESTRE'!BW37</f>
        <v>0</v>
      </c>
      <c r="CD38" s="33">
        <f>+BY38+'2DO TRIMESTRE'!BP37+'1ER TRIMESTRE'!BX37</f>
        <v>0</v>
      </c>
      <c r="CE38" s="18">
        <f>BZ38+'2DO TRIMESTRE'!BQ37+'1ER TRIMESTRE'!BY37</f>
        <v>200</v>
      </c>
    </row>
    <row r="39" spans="1:83" ht="20.25" customHeight="1" thickBot="1" x14ac:dyDescent="0.25">
      <c r="A39" s="1">
        <v>29</v>
      </c>
      <c r="B39" s="94">
        <f>+'1ER TRIMESTRE'!B39</f>
        <v>0</v>
      </c>
      <c r="C39" s="95"/>
      <c r="D39" s="11" t="s">
        <v>24</v>
      </c>
      <c r="E39" s="12" t="s">
        <v>24</v>
      </c>
      <c r="F39" s="12" t="s">
        <v>24</v>
      </c>
      <c r="G39" s="12" t="s">
        <v>24</v>
      </c>
      <c r="H39" s="12" t="s">
        <v>24</v>
      </c>
      <c r="I39" s="12" t="s">
        <v>24</v>
      </c>
      <c r="J39" s="12" t="s">
        <v>24</v>
      </c>
      <c r="K39" s="12" t="s">
        <v>24</v>
      </c>
      <c r="L39" s="12" t="s">
        <v>24</v>
      </c>
      <c r="M39" s="12" t="s">
        <v>24</v>
      </c>
      <c r="N39" s="12" t="s">
        <v>24</v>
      </c>
      <c r="O39" s="12" t="s">
        <v>24</v>
      </c>
      <c r="P39" s="12" t="s">
        <v>24</v>
      </c>
      <c r="Q39" s="12" t="s">
        <v>24</v>
      </c>
      <c r="R39" s="12" t="s">
        <v>24</v>
      </c>
      <c r="S39" s="13" t="s">
        <v>24</v>
      </c>
      <c r="T39" s="12" t="s">
        <v>24</v>
      </c>
      <c r="U39" s="12" t="s">
        <v>24</v>
      </c>
      <c r="V39" s="12" t="s">
        <v>24</v>
      </c>
      <c r="W39" s="12" t="s">
        <v>24</v>
      </c>
      <c r="X39" s="12" t="s">
        <v>24</v>
      </c>
      <c r="Y39" s="12" t="s">
        <v>24</v>
      </c>
      <c r="Z39" s="12" t="s">
        <v>24</v>
      </c>
      <c r="AA39" s="12" t="s">
        <v>24</v>
      </c>
      <c r="AB39" s="12" t="s">
        <v>24</v>
      </c>
      <c r="AC39" s="12" t="s">
        <v>24</v>
      </c>
      <c r="AD39" s="12" t="s">
        <v>24</v>
      </c>
      <c r="AE39" s="12" t="s">
        <v>24</v>
      </c>
      <c r="AF39" s="12" t="s">
        <v>24</v>
      </c>
      <c r="AG39" s="12" t="s">
        <v>24</v>
      </c>
      <c r="AH39" s="12" t="s">
        <v>24</v>
      </c>
      <c r="AI39" s="12" t="s">
        <v>24</v>
      </c>
      <c r="AJ39" s="12" t="s">
        <v>24</v>
      </c>
      <c r="AK39" s="13" t="s">
        <v>24</v>
      </c>
      <c r="AL39" s="12" t="s">
        <v>24</v>
      </c>
      <c r="AM39" s="12" t="s">
        <v>24</v>
      </c>
      <c r="AN39" s="12" t="s">
        <v>24</v>
      </c>
      <c r="AO39" s="12" t="s">
        <v>24</v>
      </c>
      <c r="AP39" s="12" t="s">
        <v>24</v>
      </c>
      <c r="AQ39" s="12" t="s">
        <v>24</v>
      </c>
      <c r="AR39" s="12" t="s">
        <v>24</v>
      </c>
      <c r="AS39" s="12" t="s">
        <v>24</v>
      </c>
      <c r="AT39" s="12" t="s">
        <v>24</v>
      </c>
      <c r="AU39" s="12" t="s">
        <v>24</v>
      </c>
      <c r="AV39" s="12" t="s">
        <v>24</v>
      </c>
      <c r="AW39" s="12" t="s">
        <v>24</v>
      </c>
      <c r="AX39" s="12" t="s">
        <v>24</v>
      </c>
      <c r="AY39" s="12" t="s">
        <v>24</v>
      </c>
      <c r="AZ39" s="12" t="s">
        <v>24</v>
      </c>
      <c r="BA39" s="12" t="s">
        <v>24</v>
      </c>
      <c r="BB39" s="12" t="s">
        <v>24</v>
      </c>
      <c r="BC39" s="12" t="s">
        <v>24</v>
      </c>
      <c r="BD39" s="12" t="s">
        <v>24</v>
      </c>
      <c r="BE39" s="13" t="s">
        <v>24</v>
      </c>
      <c r="BF39" s="12" t="s">
        <v>24</v>
      </c>
      <c r="BG39" s="12" t="s">
        <v>24</v>
      </c>
      <c r="BH39" s="12" t="s">
        <v>24</v>
      </c>
      <c r="BI39" s="12" t="s">
        <v>24</v>
      </c>
      <c r="BJ39" s="12" t="s">
        <v>24</v>
      </c>
      <c r="BK39" s="12" t="s">
        <v>24</v>
      </c>
      <c r="BL39" s="12" t="s">
        <v>24</v>
      </c>
      <c r="BM39" s="12" t="s">
        <v>24</v>
      </c>
      <c r="BN39" s="12" t="s">
        <v>24</v>
      </c>
      <c r="BO39" s="12" t="s">
        <v>24</v>
      </c>
      <c r="BP39" s="12" t="s">
        <v>24</v>
      </c>
      <c r="BQ39" s="12" t="s">
        <v>24</v>
      </c>
      <c r="BR39" s="12" t="s">
        <v>24</v>
      </c>
      <c r="BS39" s="12" t="s">
        <v>24</v>
      </c>
      <c r="BT39" s="12" t="s">
        <v>24</v>
      </c>
      <c r="BU39" s="12" t="s">
        <v>24</v>
      </c>
      <c r="BV39" s="17">
        <f t="shared" si="0"/>
        <v>0</v>
      </c>
      <c r="BW39" s="17" cm="1">
        <f t="array" ref="BW39">SUM(COUNTIF(D39:BU39,{"A";"AT"}))</f>
        <v>70</v>
      </c>
      <c r="BX39" s="17">
        <f t="shared" si="1"/>
        <v>0</v>
      </c>
      <c r="BY39" s="17">
        <f t="shared" si="2"/>
        <v>0</v>
      </c>
      <c r="BZ39" s="18">
        <f t="shared" si="3"/>
        <v>70</v>
      </c>
      <c r="CA39" s="33">
        <f>+BV39+'2DO TRIMESTRE'!BM39+'1ER TRIMESTRE'!BU39</f>
        <v>0</v>
      </c>
      <c r="CB39" s="18">
        <f>+BW39+'2DO TRIMESTRE'!BN39+'1ER TRIMESTRE'!BV39</f>
        <v>200</v>
      </c>
      <c r="CC39" s="33">
        <f>+BX39+'2DO TRIMESTRE'!BO39+'1ER TRIMESTRE'!BW39</f>
        <v>0</v>
      </c>
      <c r="CD39" s="33">
        <f>+BY39+'2DO TRIMESTRE'!BP39+'1ER TRIMESTRE'!BX39</f>
        <v>0</v>
      </c>
      <c r="CE39" s="18">
        <f>BZ39+'2DO TRIMESTRE'!BQ39+'1ER TRIMESTRE'!BY39</f>
        <v>200</v>
      </c>
    </row>
    <row r="40" spans="1:83" ht="20.25" customHeight="1" thickBot="1" x14ac:dyDescent="0.25">
      <c r="A40" s="1">
        <v>30</v>
      </c>
      <c r="B40" s="94">
        <f>+'1ER TRIMESTRE'!B40</f>
        <v>0</v>
      </c>
      <c r="C40" s="95"/>
      <c r="D40" s="14" t="s">
        <v>24</v>
      </c>
      <c r="E40" s="15" t="s">
        <v>24</v>
      </c>
      <c r="F40" s="15" t="s">
        <v>24</v>
      </c>
      <c r="G40" s="15" t="s">
        <v>24</v>
      </c>
      <c r="H40" s="15" t="s">
        <v>24</v>
      </c>
      <c r="I40" s="15" t="s">
        <v>24</v>
      </c>
      <c r="J40" s="15" t="s">
        <v>24</v>
      </c>
      <c r="K40" s="15" t="s">
        <v>24</v>
      </c>
      <c r="L40" s="15" t="s">
        <v>24</v>
      </c>
      <c r="M40" s="15" t="s">
        <v>24</v>
      </c>
      <c r="N40" s="15" t="s">
        <v>24</v>
      </c>
      <c r="O40" s="15" t="s">
        <v>24</v>
      </c>
      <c r="P40" s="15" t="s">
        <v>24</v>
      </c>
      <c r="Q40" s="15" t="s">
        <v>24</v>
      </c>
      <c r="R40" s="15" t="s">
        <v>24</v>
      </c>
      <c r="S40" s="16" t="s">
        <v>24</v>
      </c>
      <c r="T40" s="15" t="s">
        <v>24</v>
      </c>
      <c r="U40" s="15" t="s">
        <v>24</v>
      </c>
      <c r="V40" s="15" t="s">
        <v>24</v>
      </c>
      <c r="W40" s="15" t="s">
        <v>24</v>
      </c>
      <c r="X40" s="15" t="s">
        <v>24</v>
      </c>
      <c r="Y40" s="15" t="s">
        <v>24</v>
      </c>
      <c r="Z40" s="15" t="s">
        <v>24</v>
      </c>
      <c r="AA40" s="15" t="s">
        <v>24</v>
      </c>
      <c r="AB40" s="15" t="s">
        <v>24</v>
      </c>
      <c r="AC40" s="15" t="s">
        <v>24</v>
      </c>
      <c r="AD40" s="15" t="s">
        <v>24</v>
      </c>
      <c r="AE40" s="15" t="s">
        <v>24</v>
      </c>
      <c r="AF40" s="15" t="s">
        <v>24</v>
      </c>
      <c r="AG40" s="15" t="s">
        <v>24</v>
      </c>
      <c r="AH40" s="15" t="s">
        <v>24</v>
      </c>
      <c r="AI40" s="15" t="s">
        <v>24</v>
      </c>
      <c r="AJ40" s="15" t="s">
        <v>24</v>
      </c>
      <c r="AK40" s="16" t="s">
        <v>24</v>
      </c>
      <c r="AL40" s="15" t="s">
        <v>24</v>
      </c>
      <c r="AM40" s="15" t="s">
        <v>24</v>
      </c>
      <c r="AN40" s="15" t="s">
        <v>24</v>
      </c>
      <c r="AO40" s="15" t="s">
        <v>24</v>
      </c>
      <c r="AP40" s="15" t="s">
        <v>24</v>
      </c>
      <c r="AQ40" s="15" t="s">
        <v>24</v>
      </c>
      <c r="AR40" s="15" t="s">
        <v>24</v>
      </c>
      <c r="AS40" s="15" t="s">
        <v>24</v>
      </c>
      <c r="AT40" s="15" t="s">
        <v>24</v>
      </c>
      <c r="AU40" s="15" t="s">
        <v>24</v>
      </c>
      <c r="AV40" s="15" t="s">
        <v>24</v>
      </c>
      <c r="AW40" s="15" t="s">
        <v>24</v>
      </c>
      <c r="AX40" s="15" t="s">
        <v>24</v>
      </c>
      <c r="AY40" s="15" t="s">
        <v>24</v>
      </c>
      <c r="AZ40" s="15" t="s">
        <v>24</v>
      </c>
      <c r="BA40" s="15" t="s">
        <v>24</v>
      </c>
      <c r="BB40" s="15" t="s">
        <v>24</v>
      </c>
      <c r="BC40" s="15" t="s">
        <v>24</v>
      </c>
      <c r="BD40" s="15" t="s">
        <v>24</v>
      </c>
      <c r="BE40" s="16" t="s">
        <v>24</v>
      </c>
      <c r="BF40" s="15" t="s">
        <v>24</v>
      </c>
      <c r="BG40" s="15" t="s">
        <v>24</v>
      </c>
      <c r="BH40" s="15" t="s">
        <v>24</v>
      </c>
      <c r="BI40" s="15" t="s">
        <v>24</v>
      </c>
      <c r="BJ40" s="15" t="s">
        <v>24</v>
      </c>
      <c r="BK40" s="15" t="s">
        <v>24</v>
      </c>
      <c r="BL40" s="15" t="s">
        <v>24</v>
      </c>
      <c r="BM40" s="15" t="s">
        <v>24</v>
      </c>
      <c r="BN40" s="15" t="s">
        <v>24</v>
      </c>
      <c r="BO40" s="15" t="s">
        <v>24</v>
      </c>
      <c r="BP40" s="15" t="s">
        <v>24</v>
      </c>
      <c r="BQ40" s="15" t="s">
        <v>24</v>
      </c>
      <c r="BR40" s="15" t="s">
        <v>24</v>
      </c>
      <c r="BS40" s="15" t="s">
        <v>24</v>
      </c>
      <c r="BT40" s="15" t="s">
        <v>24</v>
      </c>
      <c r="BU40" s="15" t="s">
        <v>24</v>
      </c>
      <c r="BV40" s="17">
        <f t="shared" si="0"/>
        <v>0</v>
      </c>
      <c r="BW40" s="17" cm="1">
        <f t="array" ref="BW40">SUM(COUNTIF(D40:BU40,{"A";"AT"}))</f>
        <v>70</v>
      </c>
      <c r="BX40" s="17">
        <f t="shared" si="1"/>
        <v>0</v>
      </c>
      <c r="BY40" s="17">
        <f t="shared" si="2"/>
        <v>0</v>
      </c>
      <c r="BZ40" s="18">
        <f t="shared" si="3"/>
        <v>70</v>
      </c>
      <c r="CA40" s="33">
        <f>+BV40+'2DO TRIMESTRE'!BM40+'1ER TRIMESTRE'!BU40</f>
        <v>0</v>
      </c>
      <c r="CB40" s="18">
        <f>+BW40+'2DO TRIMESTRE'!BN40+'1ER TRIMESTRE'!BV40</f>
        <v>200</v>
      </c>
      <c r="CC40" s="33">
        <f>+BX40+'2DO TRIMESTRE'!BO40+'1ER TRIMESTRE'!BW40</f>
        <v>0</v>
      </c>
      <c r="CD40" s="33">
        <f>+BY40+'2DO TRIMESTRE'!BP40+'1ER TRIMESTRE'!BX40</f>
        <v>0</v>
      </c>
      <c r="CE40" s="18">
        <f>BZ40+'2DO TRIMESTRE'!BQ40+'1ER TRIMESTRE'!BY40</f>
        <v>200</v>
      </c>
    </row>
    <row r="41" spans="1:83" ht="20.25" customHeight="1" thickBot="1" x14ac:dyDescent="0.25">
      <c r="BV41" s="106" t="s">
        <v>42</v>
      </c>
      <c r="BW41" s="106"/>
      <c r="BX41" s="106"/>
      <c r="BY41" s="106"/>
      <c r="BZ41" s="106"/>
      <c r="CA41" s="33">
        <f>SUM(CA11:CA40)</f>
        <v>0</v>
      </c>
      <c r="CB41" s="34">
        <f t="shared" ref="CB41:CE41" si="8">SUM(CB11:CB40)</f>
        <v>6000</v>
      </c>
      <c r="CC41" s="33">
        <f t="shared" si="8"/>
        <v>0</v>
      </c>
      <c r="CD41" s="33">
        <f t="shared" si="8"/>
        <v>0</v>
      </c>
      <c r="CE41" s="18">
        <f t="shared" si="8"/>
        <v>6000</v>
      </c>
    </row>
    <row r="42" spans="1:83" ht="15.75" customHeight="1" x14ac:dyDescent="0.2"/>
    <row r="43" spans="1:83" ht="15.75" customHeight="1" x14ac:dyDescent="0.2"/>
    <row r="44" spans="1:83" ht="15.75" customHeight="1" x14ac:dyDescent="0.2"/>
    <row r="45" spans="1:83" ht="15.75" customHeight="1" x14ac:dyDescent="0.2">
      <c r="A45" s="2"/>
      <c r="B45" s="2"/>
      <c r="C45" s="2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2"/>
      <c r="T45" s="2"/>
      <c r="U45" s="2"/>
      <c r="V45" s="2"/>
      <c r="W45" s="2"/>
      <c r="X45" s="2"/>
      <c r="Y45" s="2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L45" s="99"/>
      <c r="BM45" s="99"/>
      <c r="BN45" s="99"/>
      <c r="BO45" s="99"/>
      <c r="BP45" s="99"/>
      <c r="BQ45" s="99"/>
      <c r="BR45" s="99"/>
      <c r="BS45" s="99"/>
      <c r="BT45" s="99"/>
      <c r="BU45" s="99"/>
      <c r="BV45" s="99"/>
      <c r="BW45" s="99"/>
      <c r="BX45" s="27"/>
      <c r="BY45" s="27"/>
      <c r="BZ45" s="27"/>
      <c r="CA45" s="28"/>
      <c r="CB45" s="28"/>
      <c r="CC45" s="28"/>
    </row>
    <row r="46" spans="1:83" s="31" customFormat="1" ht="15.75" customHeight="1" x14ac:dyDescent="0.2">
      <c r="D46" s="100" t="s">
        <v>54</v>
      </c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Z46" s="100" t="s">
        <v>31</v>
      </c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S46" s="100" t="s">
        <v>31</v>
      </c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L46" s="101" t="s">
        <v>53</v>
      </c>
      <c r="BM46" s="101"/>
      <c r="BN46" s="101"/>
      <c r="BO46" s="101"/>
      <c r="BP46" s="101"/>
      <c r="BQ46" s="101"/>
      <c r="BR46" s="101"/>
      <c r="BS46" s="101"/>
      <c r="BT46" s="101"/>
      <c r="BU46" s="101"/>
      <c r="BV46" s="101"/>
      <c r="BW46" s="101"/>
      <c r="BX46" s="32"/>
      <c r="BY46" s="32"/>
      <c r="BZ46" s="32"/>
    </row>
    <row r="47" spans="1:83" s="29" customFormat="1" ht="15.75" customHeight="1" x14ac:dyDescent="0.2">
      <c r="D47" s="96" t="s">
        <v>29</v>
      </c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Z47" s="96" t="s">
        <v>41</v>
      </c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S47" s="96" t="s">
        <v>32</v>
      </c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L47" s="96" t="s">
        <v>33</v>
      </c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30"/>
      <c r="BY47" s="30"/>
      <c r="BZ47" s="30"/>
    </row>
    <row r="48" spans="1:8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75">
    <mergeCell ref="B39:C39"/>
    <mergeCell ref="B40:C40"/>
    <mergeCell ref="BV41:BZ41"/>
    <mergeCell ref="CA5:CE5"/>
    <mergeCell ref="CE6:CE10"/>
    <mergeCell ref="BV6:BV10"/>
    <mergeCell ref="BW6:BW10"/>
    <mergeCell ref="BX6:BX10"/>
    <mergeCell ref="BY6:BY10"/>
    <mergeCell ref="BZ6:BZ10"/>
    <mergeCell ref="CA6:CA10"/>
    <mergeCell ref="CB6:CB10"/>
    <mergeCell ref="CC6:CC10"/>
    <mergeCell ref="CD6:CD10"/>
    <mergeCell ref="B34:C34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22:C22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7:C7"/>
    <mergeCell ref="D7:S8"/>
    <mergeCell ref="T7:AK8"/>
    <mergeCell ref="AL7:BE8"/>
    <mergeCell ref="BF7:BU8"/>
    <mergeCell ref="A8:A10"/>
    <mergeCell ref="D9:S9"/>
    <mergeCell ref="T9:AK9"/>
    <mergeCell ref="AL9:BE9"/>
    <mergeCell ref="BF9:BU9"/>
    <mergeCell ref="B10:C10"/>
    <mergeCell ref="A1:BZ1"/>
    <mergeCell ref="A2:BZ2"/>
    <mergeCell ref="A3:BZ3"/>
    <mergeCell ref="A4:BZ4"/>
    <mergeCell ref="A5:BZ5"/>
    <mergeCell ref="A6:C6"/>
    <mergeCell ref="D6:S6"/>
    <mergeCell ref="T6:AK6"/>
    <mergeCell ref="AL6:BE6"/>
    <mergeCell ref="BF6:BU6"/>
    <mergeCell ref="B35:C35"/>
    <mergeCell ref="D47:R47"/>
    <mergeCell ref="Z47:AN47"/>
    <mergeCell ref="AS47:BG47"/>
    <mergeCell ref="BL47:BW47"/>
    <mergeCell ref="D45:R45"/>
    <mergeCell ref="Z45:AN45"/>
    <mergeCell ref="AS45:BG45"/>
    <mergeCell ref="BL45:BW45"/>
    <mergeCell ref="D46:R46"/>
    <mergeCell ref="Z46:AN46"/>
    <mergeCell ref="AS46:BG46"/>
    <mergeCell ref="BL46:BW46"/>
    <mergeCell ref="B36:C36"/>
    <mergeCell ref="B37:C37"/>
    <mergeCell ref="B38:C38"/>
  </mergeCells>
  <conditionalFormatting sqref="D11:BU40">
    <cfRule type="containsText" dxfId="10" priority="8" operator="containsText" text="F">
      <formula>NOT(ISERROR(SEARCH("F",D11)))</formula>
    </cfRule>
    <cfRule type="containsText" dxfId="9" priority="9" operator="containsText" text="AT">
      <formula>NOT(ISERROR(SEARCH("AT",D11)))</formula>
    </cfRule>
    <cfRule type="containsText" dxfId="8" priority="10" operator="containsText" text="A">
      <formula>NOT(ISERROR(SEARCH("A",D11)))</formula>
    </cfRule>
    <cfRule type="containsText" dxfId="7" priority="11" operator="containsText" text="J">
      <formula>NOT(ISERROR(SEARCH("J",D11)))</formula>
    </cfRule>
  </conditionalFormatting>
  <conditionalFormatting sqref="BV11:BV40">
    <cfRule type="cellIs" dxfId="6" priority="7" operator="between">
      <formula>1</formula>
      <formula>999999</formula>
    </cfRule>
  </conditionalFormatting>
  <conditionalFormatting sqref="BW11:BW40">
    <cfRule type="cellIs" dxfId="5" priority="6" operator="between">
      <formula>1</formula>
      <formula>99999</formula>
    </cfRule>
  </conditionalFormatting>
  <conditionalFormatting sqref="BX11:BX40">
    <cfRule type="cellIs" dxfId="4" priority="5" operator="between">
      <formula>1</formula>
      <formula>99999</formula>
    </cfRule>
  </conditionalFormatting>
  <conditionalFormatting sqref="BY11:BY40">
    <cfRule type="cellIs" dxfId="3" priority="4" operator="between">
      <formula>1</formula>
      <formula>99999</formula>
    </cfRule>
  </conditionalFormatting>
  <conditionalFormatting sqref="CA11:CA41">
    <cfRule type="cellIs" dxfId="2" priority="3" operator="between">
      <formula>1</formula>
      <formula>99999</formula>
    </cfRule>
  </conditionalFormatting>
  <conditionalFormatting sqref="CC11:CC41">
    <cfRule type="cellIs" dxfId="1" priority="2" operator="between">
      <formula>1</formula>
      <formula>999</formula>
    </cfRule>
  </conditionalFormatting>
  <conditionalFormatting sqref="CD11:CD41">
    <cfRule type="cellIs" dxfId="0" priority="1" operator="between">
      <formula>1</formula>
      <formula>9999</formula>
    </cfRule>
  </conditionalFormatting>
  <hyperlinks>
    <hyperlink ref="A3" r:id="rId1" xr:uid="{6FB184D0-CBDD-48AE-9753-8EF5FEBFBE7B}"/>
    <hyperlink ref="A4" r:id="rId2" display="AÑO LECTIVO 2024-2025" xr:uid="{017C2E47-F772-4606-B932-629B8FB6B0DA}"/>
  </hyperlinks>
  <printOptions horizontalCentered="1" verticalCentered="1"/>
  <pageMargins left="0.70866141732283472" right="0.70866141732283472" top="0.74803149606299213" bottom="0.74803149606299213" header="0" footer="0"/>
  <pageSetup paperSize="9" scale="42" orientation="landscape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TRIMESTRE</vt:lpstr>
      <vt:lpstr>2DO TRIMESTRE</vt:lpstr>
      <vt:lpstr>3ER TRIMESTRE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Jack Krauser</cp:lastModifiedBy>
  <cp:lastPrinted>2026-05-21T22:28:22Z</cp:lastPrinted>
  <dcterms:created xsi:type="dcterms:W3CDTF">2006-09-16T00:00:00Z</dcterms:created>
  <dcterms:modified xsi:type="dcterms:W3CDTF">2026-08-03T05:36:05Z</dcterms:modified>
</cp:coreProperties>
</file>